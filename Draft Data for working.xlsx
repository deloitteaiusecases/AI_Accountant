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yresources.deloitte.com/personal/abhisachdeva_deloitte_com/Documents/Desktop/Working/1. FY 24-25/Client/Others/AI Use Cases/AJBank/"/>
    </mc:Choice>
  </mc:AlternateContent>
  <xr:revisionPtr revIDLastSave="7" documentId="13_ncr:1_{48DC0725-E6AF-450F-8F07-9A0D5394D138}" xr6:coauthVersionLast="47" xr6:coauthVersionMax="47" xr10:uidLastSave="{C990D783-6AF9-4183-B7A3-6EEA589FA03E}"/>
  <bookViews>
    <workbookView xWindow="-110" yWindow="-110" windowWidth="19420" windowHeight="10300" tabRatio="500" xr2:uid="{00000000-000D-0000-FFFF-FFFF00000000}"/>
  </bookViews>
  <sheets>
    <sheet name="Trial Balance" sheetId="2" r:id="rId1"/>
    <sheet name="Investment " sheetId="4" r:id="rId2"/>
    <sheet name="FAR - Asset Register" sheetId="3" r:id="rId3"/>
    <sheet name="Financing -net" sheetId="5" r:id="rId4"/>
    <sheet name="Financing - Working" sheetId="6" r:id="rId5"/>
    <sheet name="Note 4" sheetId="7" r:id="rId6"/>
    <sheet name="N5" sheetId="8" r:id="rId7"/>
    <sheet name="N8" sheetId="9" r:id="rId8"/>
    <sheet name="N9" sheetId="10" r:id="rId9"/>
    <sheet name="N11" sheetId="11" r:id="rId10"/>
    <sheet name="N12" sheetId="12" r:id="rId11"/>
    <sheet name="N13" sheetId="13" r:id="rId12"/>
    <sheet name="N14,16,17,18,19" sheetId="14" r:id="rId13"/>
    <sheet name="N15" sheetId="15" r:id="rId14"/>
    <sheet name="Sheet9" sheetId="16" r:id="rId15"/>
    <sheet name="P&amp;L Notes" sheetId="17" r:id="rId16"/>
  </sheets>
  <definedNames>
    <definedName name="_xlnm._FilterDatabase" localSheetId="0" hidden="1">'Trial Balance'!$A$2:$M$137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4" i="17" l="1"/>
  <c r="F40" i="17"/>
  <c r="E40" i="17"/>
  <c r="F39" i="17"/>
  <c r="E39" i="17"/>
  <c r="F38" i="17"/>
  <c r="E38" i="17"/>
  <c r="F37" i="17"/>
  <c r="E37" i="17"/>
  <c r="F36" i="17"/>
  <c r="E36" i="17"/>
  <c r="F35" i="17"/>
  <c r="E35" i="17"/>
  <c r="F34" i="17"/>
  <c r="E34" i="17"/>
  <c r="F33" i="17"/>
  <c r="E33" i="17"/>
  <c r="F32" i="17"/>
  <c r="E32" i="17"/>
  <c r="D45" i="15"/>
  <c r="C45" i="15"/>
  <c r="D35" i="15"/>
  <c r="C35" i="15"/>
  <c r="D27" i="15"/>
  <c r="C27" i="15"/>
  <c r="D18" i="15"/>
  <c r="C18" i="15"/>
  <c r="D54" i="14"/>
  <c r="D53" i="14"/>
  <c r="D52" i="14"/>
  <c r="D51" i="14"/>
  <c r="D50" i="14"/>
  <c r="E26" i="13"/>
  <c r="E25" i="13"/>
  <c r="E24" i="13"/>
  <c r="D126" i="2"/>
  <c r="D125" i="2"/>
  <c r="D124" i="2"/>
  <c r="D123" i="2"/>
  <c r="D122" i="2"/>
  <c r="D121" i="2"/>
  <c r="D120" i="2"/>
  <c r="D119" i="2"/>
  <c r="D118" i="2"/>
  <c r="D117" i="2"/>
  <c r="D116" i="2"/>
  <c r="D114" i="2"/>
  <c r="D113" i="2"/>
  <c r="D112" i="2"/>
  <c r="D110" i="2"/>
  <c r="D109" i="2"/>
  <c r="D108" i="2"/>
  <c r="D107" i="2"/>
  <c r="D106" i="2"/>
  <c r="D105" i="2"/>
  <c r="D104" i="2"/>
  <c r="D103" i="2"/>
  <c r="D102" i="2"/>
  <c r="D101" i="2"/>
  <c r="D100" i="2"/>
  <c r="G123" i="2"/>
  <c r="G122" i="2"/>
  <c r="G121" i="2"/>
  <c r="G120" i="2"/>
  <c r="G119" i="2"/>
  <c r="G118" i="2"/>
  <c r="G117" i="2"/>
  <c r="G116" i="2"/>
  <c r="G113" i="2"/>
  <c r="G112" i="2"/>
  <c r="G111" i="2"/>
  <c r="G109" i="2"/>
  <c r="G108" i="2"/>
  <c r="G106" i="2"/>
  <c r="G105" i="2"/>
  <c r="G104" i="2"/>
  <c r="G103" i="2"/>
  <c r="G102" i="2"/>
  <c r="G101" i="2"/>
  <c r="G100" i="2"/>
  <c r="G182" i="2"/>
  <c r="D182" i="2"/>
  <c r="G137" i="2"/>
  <c r="D137" i="2"/>
  <c r="G133" i="2"/>
  <c r="G132" i="2"/>
  <c r="G131" i="2"/>
  <c r="G130" i="2"/>
  <c r="G129" i="2"/>
  <c r="G128" i="2"/>
  <c r="G127" i="2"/>
  <c r="G126" i="2"/>
  <c r="G125" i="2"/>
  <c r="G115" i="2"/>
  <c r="G114" i="2"/>
  <c r="G110" i="2"/>
  <c r="G99" i="2"/>
  <c r="G96" i="2"/>
  <c r="G95" i="2"/>
  <c r="G94" i="2"/>
  <c r="G93" i="2"/>
  <c r="G87" i="2"/>
  <c r="G86" i="2"/>
  <c r="G83" i="2"/>
  <c r="G82" i="2"/>
  <c r="G81" i="2"/>
  <c r="G80" i="2"/>
  <c r="G79" i="2"/>
  <c r="G78" i="2"/>
  <c r="G77" i="2"/>
  <c r="D183" i="2"/>
  <c r="D136" i="2"/>
  <c r="D135" i="2"/>
  <c r="D134" i="2"/>
  <c r="D133" i="2"/>
  <c r="D132" i="2"/>
  <c r="D131" i="2"/>
  <c r="D130" i="2"/>
  <c r="D129" i="2"/>
  <c r="D128" i="2"/>
  <c r="D127" i="2"/>
  <c r="D111" i="2"/>
  <c r="D99" i="2"/>
  <c r="D98" i="2"/>
  <c r="D97" i="2"/>
  <c r="D94" i="2"/>
  <c r="D93" i="2"/>
  <c r="D89" i="2"/>
  <c r="D88" i="2"/>
  <c r="D85" i="2"/>
  <c r="D84" i="2"/>
  <c r="D83" i="2"/>
  <c r="D82" i="2"/>
  <c r="D81" i="2"/>
  <c r="D78" i="2"/>
  <c r="D77" i="2"/>
  <c r="D73" i="2"/>
  <c r="G68" i="2"/>
  <c r="G67" i="2"/>
  <c r="G66" i="2"/>
  <c r="G65" i="2"/>
  <c r="D70" i="2"/>
  <c r="D69" i="2"/>
  <c r="D68" i="2"/>
  <c r="D67" i="2"/>
  <c r="D66" i="2"/>
  <c r="G60" i="2"/>
  <c r="G59" i="2"/>
  <c r="G55" i="2"/>
  <c r="G54" i="2"/>
  <c r="G53" i="2"/>
  <c r="G52" i="2"/>
  <c r="G51" i="2"/>
  <c r="G50" i="2"/>
  <c r="G49" i="2"/>
  <c r="G48" i="2"/>
  <c r="D58" i="2"/>
  <c r="D57" i="2"/>
  <c r="D53" i="2"/>
  <c r="D52" i="2"/>
  <c r="D51" i="2"/>
  <c r="D50" i="2"/>
  <c r="D49" i="2"/>
  <c r="D48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56" i="2"/>
  <c r="G57" i="2"/>
  <c r="G58" i="2"/>
  <c r="G61" i="2"/>
  <c r="G62" i="2"/>
  <c r="G63" i="2"/>
  <c r="G64" i="2"/>
  <c r="G69" i="2"/>
  <c r="G70" i="2"/>
  <c r="G71" i="2"/>
  <c r="G72" i="2"/>
  <c r="G73" i="2"/>
  <c r="G74" i="2"/>
  <c r="G75" i="2"/>
  <c r="G76" i="2"/>
  <c r="G84" i="2"/>
  <c r="G85" i="2"/>
  <c r="G88" i="2"/>
  <c r="G89" i="2"/>
  <c r="G90" i="2"/>
  <c r="G91" i="2"/>
  <c r="G92" i="2"/>
  <c r="G134" i="2"/>
  <c r="G135" i="2"/>
  <c r="G136" i="2"/>
  <c r="G183" i="2"/>
  <c r="G184" i="2"/>
  <c r="G97" i="2"/>
  <c r="G98" i="2"/>
  <c r="G107" i="2"/>
  <c r="G124" i="2"/>
  <c r="G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54" i="2"/>
  <c r="D55" i="2"/>
  <c r="D56" i="2"/>
  <c r="D59" i="2"/>
  <c r="D60" i="2"/>
  <c r="D61" i="2"/>
  <c r="D62" i="2"/>
  <c r="D63" i="2"/>
  <c r="D64" i="2"/>
  <c r="D65" i="2"/>
  <c r="D71" i="2"/>
  <c r="D72" i="2"/>
  <c r="D74" i="2"/>
  <c r="D75" i="2"/>
  <c r="D76" i="2"/>
  <c r="D79" i="2"/>
  <c r="D80" i="2"/>
  <c r="D86" i="2"/>
  <c r="D87" i="2"/>
  <c r="D90" i="2"/>
  <c r="D91" i="2"/>
  <c r="D92" i="2"/>
  <c r="D95" i="2"/>
  <c r="D96" i="2"/>
  <c r="D184" i="2"/>
  <c r="D115" i="2"/>
  <c r="D3" i="2"/>
  <c r="C75" i="6"/>
  <c r="C77" i="6" s="1"/>
  <c r="B75" i="6"/>
  <c r="B77" i="6" s="1"/>
  <c r="E67" i="6"/>
  <c r="E66" i="6"/>
  <c r="E65" i="6"/>
  <c r="E64" i="6"/>
  <c r="E63" i="6"/>
  <c r="E62" i="6"/>
  <c r="E61" i="6"/>
  <c r="E60" i="6"/>
  <c r="E59" i="6"/>
  <c r="E58" i="6"/>
  <c r="E57" i="6"/>
  <c r="E56" i="6"/>
  <c r="F51" i="6"/>
  <c r="F50" i="6"/>
  <c r="F49" i="6"/>
  <c r="F48" i="6"/>
  <c r="F47" i="6"/>
  <c r="F46" i="6"/>
  <c r="F45" i="6"/>
  <c r="F44" i="6"/>
  <c r="D28" i="6"/>
  <c r="D27" i="6"/>
  <c r="D26" i="6"/>
  <c r="D25" i="6"/>
  <c r="I20" i="6"/>
  <c r="E20" i="6"/>
  <c r="I19" i="6"/>
  <c r="E19" i="6"/>
  <c r="I14" i="6"/>
  <c r="E14" i="6"/>
  <c r="I13" i="6"/>
  <c r="E13" i="6"/>
  <c r="I12" i="6"/>
  <c r="E12" i="6"/>
  <c r="I11" i="6"/>
  <c r="E11" i="6"/>
  <c r="I10" i="6"/>
  <c r="E10" i="6"/>
  <c r="I9" i="6"/>
  <c r="E9" i="6"/>
  <c r="I8" i="6"/>
  <c r="E8" i="6"/>
  <c r="I7" i="6"/>
  <c r="E7" i="6"/>
  <c r="I6" i="6"/>
  <c r="E6" i="6"/>
  <c r="O126" i="5"/>
  <c r="O125" i="5"/>
  <c r="O124" i="5"/>
  <c r="O123" i="5"/>
  <c r="O122" i="5"/>
  <c r="O121" i="5"/>
  <c r="O120" i="5"/>
  <c r="O115" i="5"/>
  <c r="O114" i="5"/>
  <c r="O109" i="5"/>
  <c r="O108" i="5"/>
  <c r="O107" i="5"/>
  <c r="O106" i="5"/>
  <c r="O105" i="5"/>
  <c r="O104" i="5"/>
  <c r="O103" i="5"/>
  <c r="O102" i="5"/>
  <c r="O101" i="5"/>
  <c r="O100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5" i="5"/>
  <c r="O54" i="5"/>
  <c r="O53" i="5"/>
  <c r="O52" i="5"/>
  <c r="O51" i="5"/>
  <c r="O50" i="5"/>
  <c r="O49" i="5"/>
  <c r="O48" i="5"/>
  <c r="O47" i="5"/>
  <c r="O46" i="5"/>
  <c r="O45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R103" i="3"/>
  <c r="P103" i="3"/>
  <c r="K103" i="3"/>
  <c r="R102" i="3"/>
  <c r="P102" i="3"/>
  <c r="K102" i="3"/>
  <c r="R101" i="3"/>
  <c r="P101" i="3"/>
  <c r="K101" i="3"/>
  <c r="Q101" i="3" s="1"/>
  <c r="R100" i="3"/>
  <c r="P100" i="3"/>
  <c r="K100" i="3"/>
  <c r="R96" i="3"/>
  <c r="P96" i="3"/>
  <c r="K96" i="3"/>
  <c r="R95" i="3"/>
  <c r="P95" i="3"/>
  <c r="K95" i="3"/>
  <c r="R94" i="3"/>
  <c r="P94" i="3"/>
  <c r="K94" i="3"/>
  <c r="R93" i="3"/>
  <c r="P93" i="3"/>
  <c r="K93" i="3"/>
  <c r="R92" i="3"/>
  <c r="P92" i="3"/>
  <c r="K92" i="3"/>
  <c r="R91" i="3"/>
  <c r="P91" i="3"/>
  <c r="K91" i="3"/>
  <c r="R90" i="3"/>
  <c r="P90" i="3"/>
  <c r="K90" i="3"/>
  <c r="R89" i="3"/>
  <c r="P89" i="3"/>
  <c r="K89" i="3"/>
  <c r="R88" i="3"/>
  <c r="P88" i="3"/>
  <c r="K88" i="3"/>
  <c r="R83" i="3"/>
  <c r="P83" i="3"/>
  <c r="K83" i="3"/>
  <c r="R82" i="3"/>
  <c r="P82" i="3"/>
  <c r="K82" i="3"/>
  <c r="R78" i="3"/>
  <c r="P78" i="3"/>
  <c r="K78" i="3"/>
  <c r="Q78" i="3" s="1"/>
  <c r="R77" i="3"/>
  <c r="P77" i="3"/>
  <c r="K77" i="3"/>
  <c r="R73" i="3"/>
  <c r="P73" i="3"/>
  <c r="K73" i="3"/>
  <c r="R72" i="3"/>
  <c r="P72" i="3"/>
  <c r="K72" i="3"/>
  <c r="R71" i="3"/>
  <c r="P71" i="3"/>
  <c r="K71" i="3"/>
  <c r="Q71" i="3" s="1"/>
  <c r="R70" i="3"/>
  <c r="P70" i="3"/>
  <c r="K70" i="3"/>
  <c r="R69" i="3"/>
  <c r="P69" i="3"/>
  <c r="K69" i="3"/>
  <c r="R68" i="3"/>
  <c r="P68" i="3"/>
  <c r="K68" i="3"/>
  <c r="R67" i="3"/>
  <c r="P67" i="3"/>
  <c r="K67" i="3"/>
  <c r="R66" i="3"/>
  <c r="P66" i="3"/>
  <c r="K66" i="3"/>
  <c r="R65" i="3"/>
  <c r="P65" i="3"/>
  <c r="K65" i="3"/>
  <c r="R64" i="3"/>
  <c r="P64" i="3"/>
  <c r="K64" i="3"/>
  <c r="R63" i="3"/>
  <c r="P63" i="3"/>
  <c r="K63" i="3"/>
  <c r="R62" i="3"/>
  <c r="P62" i="3"/>
  <c r="K62" i="3"/>
  <c r="R61" i="3"/>
  <c r="P61" i="3"/>
  <c r="K61" i="3"/>
  <c r="R60" i="3"/>
  <c r="P60" i="3"/>
  <c r="K60" i="3"/>
  <c r="R59" i="3"/>
  <c r="P59" i="3"/>
  <c r="K59" i="3"/>
  <c r="R58" i="3"/>
  <c r="P58" i="3"/>
  <c r="K58" i="3"/>
  <c r="R52" i="3"/>
  <c r="P52" i="3"/>
  <c r="K52" i="3"/>
  <c r="R51" i="3"/>
  <c r="P51" i="3"/>
  <c r="K51" i="3"/>
  <c r="R50" i="3"/>
  <c r="P50" i="3"/>
  <c r="K50" i="3"/>
  <c r="R49" i="3"/>
  <c r="P49" i="3"/>
  <c r="K49" i="3"/>
  <c r="R48" i="3"/>
  <c r="P48" i="3"/>
  <c r="K48" i="3"/>
  <c r="R47" i="3"/>
  <c r="P47" i="3"/>
  <c r="K47" i="3"/>
  <c r="R43" i="3"/>
  <c r="P43" i="3"/>
  <c r="K43" i="3"/>
  <c r="R42" i="3"/>
  <c r="P42" i="3"/>
  <c r="K42" i="3"/>
  <c r="Q42" i="3" s="1"/>
  <c r="R41" i="3"/>
  <c r="P41" i="3"/>
  <c r="K41" i="3"/>
  <c r="R40" i="3"/>
  <c r="P40" i="3"/>
  <c r="K40" i="3"/>
  <c r="R39" i="3"/>
  <c r="P39" i="3"/>
  <c r="K39" i="3"/>
  <c r="R38" i="3"/>
  <c r="P38" i="3"/>
  <c r="K38" i="3"/>
  <c r="R37" i="3"/>
  <c r="P37" i="3"/>
  <c r="K37" i="3"/>
  <c r="R36" i="3"/>
  <c r="P36" i="3"/>
  <c r="K36" i="3"/>
  <c r="R35" i="3"/>
  <c r="P35" i="3"/>
  <c r="K35" i="3"/>
  <c r="R34" i="3"/>
  <c r="P34" i="3"/>
  <c r="K34" i="3"/>
  <c r="R33" i="3"/>
  <c r="P33" i="3"/>
  <c r="K33" i="3"/>
  <c r="R32" i="3"/>
  <c r="P32" i="3"/>
  <c r="K32" i="3"/>
  <c r="R31" i="3"/>
  <c r="P31" i="3"/>
  <c r="K31" i="3"/>
  <c r="R30" i="3"/>
  <c r="P30" i="3"/>
  <c r="K30" i="3"/>
  <c r="R29" i="3"/>
  <c r="P29" i="3"/>
  <c r="K29" i="3"/>
  <c r="R25" i="3"/>
  <c r="P25" i="3"/>
  <c r="K25" i="3"/>
  <c r="R24" i="3"/>
  <c r="P24" i="3"/>
  <c r="K24" i="3"/>
  <c r="Q24" i="3" s="1"/>
  <c r="R23" i="3"/>
  <c r="P23" i="3"/>
  <c r="K23" i="3"/>
  <c r="R22" i="3"/>
  <c r="P22" i="3"/>
  <c r="K22" i="3"/>
  <c r="R21" i="3"/>
  <c r="P21" i="3"/>
  <c r="K21" i="3"/>
  <c r="R20" i="3"/>
  <c r="P20" i="3"/>
  <c r="K20" i="3"/>
  <c r="R19" i="3"/>
  <c r="P19" i="3"/>
  <c r="K19" i="3"/>
  <c r="R18" i="3"/>
  <c r="P18" i="3"/>
  <c r="K18" i="3"/>
  <c r="R17" i="3"/>
  <c r="P17" i="3"/>
  <c r="K17" i="3"/>
  <c r="R16" i="3"/>
  <c r="P16" i="3"/>
  <c r="K16" i="3"/>
  <c r="R15" i="3"/>
  <c r="P15" i="3"/>
  <c r="K15" i="3"/>
  <c r="R14" i="3"/>
  <c r="P14" i="3"/>
  <c r="K14" i="3"/>
  <c r="R10" i="3"/>
  <c r="P10" i="3"/>
  <c r="K10" i="3"/>
  <c r="R9" i="3"/>
  <c r="P9" i="3"/>
  <c r="K9" i="3"/>
  <c r="Q9" i="3" s="1"/>
  <c r="R8" i="3"/>
  <c r="P8" i="3"/>
  <c r="K8" i="3"/>
  <c r="R7" i="3"/>
  <c r="P7" i="3"/>
  <c r="K7" i="3"/>
  <c r="R6" i="3"/>
  <c r="P6" i="3"/>
  <c r="K6" i="3"/>
  <c r="Q21" i="3" l="1"/>
  <c r="Q95" i="3"/>
  <c r="Q17" i="3"/>
  <c r="Q37" i="3"/>
  <c r="Q92" i="3"/>
  <c r="Q33" i="3"/>
  <c r="Q20" i="3"/>
  <c r="Q36" i="3"/>
  <c r="Q67" i="3"/>
  <c r="Q25" i="3"/>
  <c r="Q34" i="3"/>
  <c r="Q30" i="3"/>
  <c r="Q41" i="3"/>
  <c r="Q49" i="3"/>
  <c r="Q16" i="3"/>
  <c r="Q73" i="3"/>
  <c r="Q82" i="3"/>
  <c r="Q102" i="3"/>
  <c r="Q63" i="3"/>
  <c r="Q50" i="3"/>
  <c r="Q59" i="3"/>
  <c r="Q32" i="3"/>
  <c r="Q70" i="3"/>
  <c r="Q61" i="3"/>
  <c r="Q47" i="3"/>
  <c r="Q68" i="3"/>
  <c r="Q89" i="3"/>
  <c r="Q43" i="3"/>
  <c r="Q96" i="3"/>
  <c r="Q93" i="3"/>
  <c r="Q23" i="3"/>
  <c r="Q69" i="3"/>
  <c r="Q91" i="3"/>
  <c r="Q103" i="3"/>
  <c r="Q8" i="3"/>
  <c r="Q22" i="3"/>
  <c r="Q40" i="3"/>
  <c r="Q90" i="3"/>
  <c r="Q65" i="3"/>
  <c r="Q52" i="3"/>
  <c r="Q60" i="3"/>
  <c r="Q19" i="3"/>
  <c r="Q15" i="3"/>
  <c r="Q66" i="3"/>
  <c r="Q51" i="3"/>
  <c r="Q48" i="3"/>
  <c r="Q39" i="3"/>
  <c r="Q7" i="3"/>
  <c r="Q64" i="3"/>
  <c r="Q72" i="3"/>
  <c r="Q29" i="3"/>
  <c r="Q35" i="3"/>
  <c r="Q31" i="3"/>
  <c r="Q10" i="3"/>
  <c r="Q18" i="3"/>
  <c r="Q38" i="3"/>
  <c r="Q62" i="3"/>
  <c r="Q94" i="3"/>
  <c r="Q100" i="3"/>
  <c r="Q77" i="3"/>
  <c r="Q6" i="3"/>
  <c r="Q14" i="3"/>
  <c r="Q83" i="3"/>
  <c r="Q88" i="3"/>
  <c r="Q58" i="3"/>
</calcChain>
</file>

<file path=xl/sharedStrings.xml><?xml version="1.0" encoding="utf-8"?>
<sst xmlns="http://schemas.openxmlformats.org/spreadsheetml/2006/main" count="4680" uniqueCount="1798">
  <si>
    <t>Note 13</t>
  </si>
  <si>
    <t>GL Number</t>
  </si>
  <si>
    <t>Balance '000 SAR
(31-Dec-2025)</t>
  </si>
  <si>
    <t>Balance '000 SAR
(31-Dec-2024)</t>
  </si>
  <si>
    <t>L0</t>
  </si>
  <si>
    <t>L1</t>
  </si>
  <si>
    <t>L2</t>
  </si>
  <si>
    <t>L3</t>
  </si>
  <si>
    <t>L4</t>
  </si>
  <si>
    <t>Source</t>
  </si>
  <si>
    <t>Assets</t>
  </si>
  <si>
    <t>Cash and balances with Saudi Central Bank (SAMA)</t>
  </si>
  <si>
    <t>Cash in hand</t>
  </si>
  <si>
    <t>Note 4</t>
  </si>
  <si>
    <t>Wakala placement with SAMA</t>
  </si>
  <si>
    <t>Other balances</t>
  </si>
  <si>
    <t>Statutory deposit with SAMA</t>
  </si>
  <si>
    <t>Due from banks and other financial institutions, net</t>
  </si>
  <si>
    <t>Current accounts</t>
  </si>
  <si>
    <t>Note 5</t>
  </si>
  <si>
    <t>Money market placements</t>
  </si>
  <si>
    <t>Commodity murabaha</t>
  </si>
  <si>
    <t>Wakala</t>
  </si>
  <si>
    <t>Less: Allowance for impairment</t>
  </si>
  <si>
    <t>Note 5(b)</t>
  </si>
  <si>
    <t>Investments, net</t>
  </si>
  <si>
    <t>Held at FVIS</t>
  </si>
  <si>
    <t>Mutual funds</t>
  </si>
  <si>
    <t>Note 6(b)</t>
  </si>
  <si>
    <t>Equities - quoted</t>
  </si>
  <si>
    <t>Equities - unquoted</t>
  </si>
  <si>
    <t>Convertible debt instrument</t>
  </si>
  <si>
    <t>Held at FVOCI</t>
  </si>
  <si>
    <t>Fixed rate Sukuk - equities</t>
  </si>
  <si>
    <t>Floating rate Sukuk - equities</t>
  </si>
  <si>
    <t>Fixed rate Sukuks</t>
  </si>
  <si>
    <t>Floating rate Sukuks</t>
  </si>
  <si>
    <t>Held at Amortised Cost</t>
  </si>
  <si>
    <t>Wakala floating rate notes</t>
  </si>
  <si>
    <t>Financing, net</t>
  </si>
  <si>
    <t>Commercial Financing</t>
  </si>
  <si>
    <t>Corporate - gross financing</t>
  </si>
  <si>
    <t>Note 7(a)</t>
  </si>
  <si>
    <t>MSME - gross financing</t>
  </si>
  <si>
    <t>Others - gross financing</t>
  </si>
  <si>
    <t>Consumer Financing</t>
  </si>
  <si>
    <t>Personal Finance - gross financing</t>
  </si>
  <si>
    <t>Real Estate - gross financing</t>
  </si>
  <si>
    <t>Auto lease - gross financing</t>
  </si>
  <si>
    <t>Credit cards - gross financing</t>
  </si>
  <si>
    <t>Other real estate, net</t>
  </si>
  <si>
    <t>Gross balance</t>
  </si>
  <si>
    <t>Note 7(g)</t>
  </si>
  <si>
    <t>Provision for unrealised revaluation losses</t>
  </si>
  <si>
    <t>Other assets</t>
  </si>
  <si>
    <t>Advances, prepayments and other receivables</t>
  </si>
  <si>
    <t>Note 8</t>
  </si>
  <si>
    <t>Margin deposits against financial instruments</t>
  </si>
  <si>
    <t>VAT and tax related receivables</t>
  </si>
  <si>
    <t>Others</t>
  </si>
  <si>
    <t>Investment in an associate</t>
  </si>
  <si>
    <t>AlJazira Takaful Ta'awuni Company (33.08%)</t>
  </si>
  <si>
    <t>Note 9</t>
  </si>
  <si>
    <t>Property, equipment, intangibles and right-of-use assets, net</t>
  </si>
  <si>
    <t>Property and equipment, net</t>
  </si>
  <si>
    <t>Note 10(a)</t>
  </si>
  <si>
    <t>Right-of-use assets, net</t>
  </si>
  <si>
    <t>Note 10(b)</t>
  </si>
  <si>
    <t>Intangible assets, net</t>
  </si>
  <si>
    <t>Note 10(c)</t>
  </si>
  <si>
    <t>Positive fair value of Shari'ah compliant derivatives</t>
  </si>
  <si>
    <t>Held for trading</t>
  </si>
  <si>
    <t>Note 11.3</t>
  </si>
  <si>
    <t>Held as cash flow hedges</t>
  </si>
  <si>
    <t>Liability</t>
  </si>
  <si>
    <t>Due to banks, Saudi Central Bank and other financial institutions</t>
  </si>
  <si>
    <t>Note 12</t>
  </si>
  <si>
    <t>Money market deposits</t>
  </si>
  <si>
    <t>Repurchase agreement borrowings</t>
  </si>
  <si>
    <t>Customers' deposits</t>
  </si>
  <si>
    <t>Demand</t>
  </si>
  <si>
    <t>Saving and call deposits</t>
  </si>
  <si>
    <t>Customers' time investments</t>
  </si>
  <si>
    <t>Other</t>
  </si>
  <si>
    <t>Subordinated Sukuk</t>
  </si>
  <si>
    <t>Subordinated Sukuk Certificates (matures 2031)</t>
  </si>
  <si>
    <t>Note 14, 29.1</t>
  </si>
  <si>
    <t>Other liabilities</t>
  </si>
  <si>
    <t>Accounts payable</t>
  </si>
  <si>
    <t>Note 15</t>
  </si>
  <si>
    <t>Employee benefit obligations</t>
  </si>
  <si>
    <t>Note 15, 30</t>
  </si>
  <si>
    <t>Lease liability - discounted</t>
  </si>
  <si>
    <t>Note 15(a)</t>
  </si>
  <si>
    <t>Loss allowance for credit related commitments and contingencies</t>
  </si>
  <si>
    <t>Note 15, 20(c)</t>
  </si>
  <si>
    <t>Dividend payable</t>
  </si>
  <si>
    <t>AlJazira Philanthropic Program</t>
  </si>
  <si>
    <t>Note 15(b)</t>
  </si>
  <si>
    <t>Negative fair value of Shari'ah compliant derivatives</t>
  </si>
  <si>
    <t>Equity</t>
  </si>
  <si>
    <t>Share capital</t>
  </si>
  <si>
    <t>1,281.25 million shares of SAR 10 each (2024: 1,025 million shares)</t>
  </si>
  <si>
    <t>Note 16(a)</t>
  </si>
  <si>
    <t>Other reserves</t>
  </si>
  <si>
    <t>Cash flow hedge reserve</t>
  </si>
  <si>
    <t>Note 18</t>
  </si>
  <si>
    <t>Fair value reserve - FVOCI debt</t>
  </si>
  <si>
    <t>Fair value reserve - FVOCI equity</t>
  </si>
  <si>
    <t>Actuarial gains/(losses) reserve</t>
  </si>
  <si>
    <t>Employee share-based payment plan reserve</t>
  </si>
  <si>
    <t>Share in OCI of an associate</t>
  </si>
  <si>
    <t>Statutory reserve, retained earnings and treasury shares (net)</t>
  </si>
  <si>
    <t>Combined balancing residual - see Assumptions tab note</t>
  </si>
  <si>
    <t>ESTIMATED - see notes</t>
  </si>
  <si>
    <t>Tier 1 Sukuk</t>
  </si>
  <si>
    <t>Perpetual, Additional Tier 1 capital instruments classified as equity</t>
  </si>
  <si>
    <t>Note 19</t>
  </si>
  <si>
    <t>Income</t>
  </si>
  <si>
    <t>Funded Income</t>
  </si>
  <si>
    <t>Income from investments and financing</t>
  </si>
  <si>
    <t>Financing</t>
  </si>
  <si>
    <t>Note 21</t>
  </si>
  <si>
    <t>Investments held at amortised cost</t>
  </si>
  <si>
    <t>Investments held at FVOCI</t>
  </si>
  <si>
    <t>Shari'ah compliant derivatives</t>
  </si>
  <si>
    <t>Due from banks and other financial institutions</t>
  </si>
  <si>
    <t>Non-Funded Income</t>
  </si>
  <si>
    <t>Fees from banking services - income</t>
  </si>
  <si>
    <t>Cards business</t>
  </si>
  <si>
    <t>Note 22</t>
  </si>
  <si>
    <t>Mutual funds fees</t>
  </si>
  <si>
    <t>Trade finance</t>
  </si>
  <si>
    <t>Local share trading</t>
  </si>
  <si>
    <t>Fees from remittance business</t>
  </si>
  <si>
    <t>Investment banking and advisory fee</t>
  </si>
  <si>
    <t>Financing related fees</t>
  </si>
  <si>
    <t>International share trading</t>
  </si>
  <si>
    <t>Exchange income, net</t>
  </si>
  <si>
    <t>Derived - balancing figure to Note 31 total operating income</t>
  </si>
  <si>
    <t>Net gain on FVIS financial instruments</t>
  </si>
  <si>
    <t>Note 23</t>
  </si>
  <si>
    <t>Equities and convertible debt instruments</t>
  </si>
  <si>
    <t>Derivatives</t>
  </si>
  <si>
    <t>Dividend income</t>
  </si>
  <si>
    <t>Investments - FVOCI</t>
  </si>
  <si>
    <t>Note 24</t>
  </si>
  <si>
    <t>Investments - FVIS</t>
  </si>
  <si>
    <t>Other operating income</t>
  </si>
  <si>
    <t>Gain on sale of other real estate</t>
  </si>
  <si>
    <t>Note 25</t>
  </si>
  <si>
    <t>Gain on sale of property and equipment</t>
  </si>
  <si>
    <t>Share in net income of an associate</t>
  </si>
  <si>
    <t>Note 9 / Note 31</t>
  </si>
  <si>
    <t>Other Comprehensive Income</t>
  </si>
  <si>
    <t>Cash flow hedges</t>
  </si>
  <si>
    <t>Net change in fair value (effective portion)</t>
  </si>
  <si>
    <t>Reclassified to consolidated statement of income</t>
  </si>
  <si>
    <t>Note 18, 11.2(b)</t>
  </si>
  <si>
    <t>Net change in fair value</t>
  </si>
  <si>
    <t>Transfer to retained earnings on disposal</t>
  </si>
  <si>
    <t>Actuarial gains/(losses)</t>
  </si>
  <si>
    <t>Re-measurement of employee benefit obligation</t>
  </si>
  <si>
    <t>Note 18, 30.1(d)</t>
  </si>
  <si>
    <t>Employee share-based plan reserve</t>
  </si>
  <si>
    <t>Movement during the year</t>
  </si>
  <si>
    <t>Share-based payment transactions</t>
  </si>
  <si>
    <t>Expense</t>
  </si>
  <si>
    <t>Funded Expense</t>
  </si>
  <si>
    <t>Return on deposits and financial liabilities</t>
  </si>
  <si>
    <t>Due to banks and other financial institutions</t>
  </si>
  <si>
    <t>Finance cost on leased assets</t>
  </si>
  <si>
    <t>Non-Funded Expense</t>
  </si>
  <si>
    <t>Fees from banking services - expense</t>
  </si>
  <si>
    <t>Cards related expenses</t>
  </si>
  <si>
    <t>Brokerage fees</t>
  </si>
  <si>
    <t>Mutual funds related expenses</t>
  </si>
  <si>
    <t>Financing related expenses</t>
  </si>
  <si>
    <t>Remittance business fee expense</t>
  </si>
  <si>
    <t>Operating Expense</t>
  </si>
  <si>
    <t>Salaries and employee related expenses</t>
  </si>
  <si>
    <t>(Estimated split - see Assumptions tab)</t>
  </si>
  <si>
    <t>ESTIMATED - IR presentation cost mix</t>
  </si>
  <si>
    <t>Rent and premises related expenses</t>
  </si>
  <si>
    <t>Depreciation and amortisation</t>
  </si>
  <si>
    <t>Property and equipment</t>
  </si>
  <si>
    <t>Note 10(a), 26</t>
  </si>
  <si>
    <t>Right-of-use assets</t>
  </si>
  <si>
    <t>Note 10(b), 26</t>
  </si>
  <si>
    <t>Intangible assets</t>
  </si>
  <si>
    <t>Note 10(c), 26</t>
  </si>
  <si>
    <t>Other general and administrative expenses</t>
  </si>
  <si>
    <t>VAT and government related charges</t>
  </si>
  <si>
    <t>Note 26</t>
  </si>
  <si>
    <t>Repair &amp; maintenance, utilities and IT cost</t>
  </si>
  <si>
    <t>Insurance cost</t>
  </si>
  <si>
    <t>Legal, professional and consultancy fee</t>
  </si>
  <si>
    <t>Communication, publication and advertisement charges</t>
  </si>
  <si>
    <t>Stationery and supplies</t>
  </si>
  <si>
    <t>Travel and entertainment</t>
  </si>
  <si>
    <t>Impairment Charge</t>
  </si>
  <si>
    <t>Impairment charge for financing and other financial assets, net</t>
  </si>
  <si>
    <t>Impairment charge for financing for the year</t>
  </si>
  <si>
    <t>Note 7(e)</t>
  </si>
  <si>
    <t>(Recoveries)/reversals of amounts previously provided</t>
  </si>
  <si>
    <t>Recoveries from debts previously written off</t>
  </si>
  <si>
    <t>Net charge - due from banks and other financial institutions</t>
  </si>
  <si>
    <t>Net impairment charge - investments</t>
  </si>
  <si>
    <t>Net impairment (reversal)/charge - non-funded financing and credit related commitments</t>
  </si>
  <si>
    <t>Impairment reversal for other real estate, net</t>
  </si>
  <si>
    <t>Note 31 (Operating Segments)</t>
  </si>
  <si>
    <t>Zakat and Income Tax</t>
  </si>
  <si>
    <t>Zakat</t>
  </si>
  <si>
    <t>Current year</t>
  </si>
  <si>
    <t>Note 28</t>
  </si>
  <si>
    <t>Prior year</t>
  </si>
  <si>
    <t>Income tax</t>
  </si>
  <si>
    <t>Asset ID</t>
  </si>
  <si>
    <t>Asset Description</t>
  </si>
  <si>
    <t>Category</t>
  </si>
  <si>
    <t>Location / Cost Centre</t>
  </si>
  <si>
    <t>Acquisition Date</t>
  </si>
  <si>
    <t>Useful Life (yrs)</t>
  </si>
  <si>
    <t>Cost b/f
1-Jan-2025</t>
  </si>
  <si>
    <t>Additions
2025</t>
  </si>
  <si>
    <t>Disposals
2025</t>
  </si>
  <si>
    <t>Transfers
2025</t>
  </si>
  <si>
    <t>Cost c/f
31-Dec-2025</t>
  </si>
  <si>
    <t>Accum. Dep'n b/f
1-Jan-2025</t>
  </si>
  <si>
    <t>Charge for
2025</t>
  </si>
  <si>
    <t>Disposals
(accum. dep'n)</t>
  </si>
  <si>
    <t>Transfers
(accum. dep'n)</t>
  </si>
  <si>
    <t>Accum. Dep'n c/f
31-Dec-2025</t>
  </si>
  <si>
    <t>NBV
31-Dec-2025</t>
  </si>
  <si>
    <t>NBV
31-Dec-2024</t>
  </si>
  <si>
    <t>FA-0001</t>
  </si>
  <si>
    <t>Head Office Building - Jeddah (King Abdulaziz Rd)</t>
  </si>
  <si>
    <t>Land and buildings</t>
  </si>
  <si>
    <t>Jeddah HQ</t>
  </si>
  <si>
    <t>15-Jun-1998</t>
  </si>
  <si>
    <t>FA-0002</t>
  </si>
  <si>
    <t>Riyadh Regional Office Building</t>
  </si>
  <si>
    <t>Riyadh</t>
  </si>
  <si>
    <t>10-Mar-2002</t>
  </si>
  <si>
    <t>FA-0003</t>
  </si>
  <si>
    <t>Khobar Regional Office Building</t>
  </si>
  <si>
    <t>Khobar</t>
  </si>
  <si>
    <t>22-Sep-2004</t>
  </si>
  <si>
    <t>FA-0004</t>
  </si>
  <si>
    <t>Owned Branch Buildings - pool (12 branches)</t>
  </si>
  <si>
    <t>Various KSA</t>
  </si>
  <si>
    <t>Various</t>
  </si>
  <si>
    <t>FA-0005</t>
  </si>
  <si>
    <t>Freehold Land - Head Office &amp; Branch sites</t>
  </si>
  <si>
    <t>N/A (land - not depreciated)</t>
  </si>
  <si>
    <t>FA-0006</t>
  </si>
  <si>
    <t>Branch fit-out - Branch Olaya Riyadh</t>
  </si>
  <si>
    <t>Leasehold improvements</t>
  </si>
  <si>
    <t>FA-0007</t>
  </si>
  <si>
    <t>Branch fit-out - Branch Tahlia Jeddah</t>
  </si>
  <si>
    <t>FA-0008</t>
  </si>
  <si>
    <t>Branch fit-out - Branch Corniche Khobar</t>
  </si>
  <si>
    <t>FA-0009</t>
  </si>
  <si>
    <t>Branch fit-out - Branch Malaz Riyadh</t>
  </si>
  <si>
    <t>FA-0010</t>
  </si>
  <si>
    <t>Branch fit-out - Branch Rawdah Jeddah</t>
  </si>
  <si>
    <t>FA-0011</t>
  </si>
  <si>
    <t>Branch fit-out - Branch Dammam Main</t>
  </si>
  <si>
    <t>FA-0012</t>
  </si>
  <si>
    <t>Branch fit-out - Branch Madinah Main</t>
  </si>
  <si>
    <t>FA-0013</t>
  </si>
  <si>
    <t>Branch fit-out - Branch Makkah Main</t>
  </si>
  <si>
    <t>FA-0014</t>
  </si>
  <si>
    <t>Branch fit-out - Branch Abha</t>
  </si>
  <si>
    <t>FA-0015</t>
  </si>
  <si>
    <t>Branch fit-out - Branch Tabuk</t>
  </si>
  <si>
    <t>FA-0016</t>
  </si>
  <si>
    <t>Branch fit-out - Branch Jubail</t>
  </si>
  <si>
    <t>FA-0017</t>
  </si>
  <si>
    <t>Branch fit-out - Branch Hofuf</t>
  </si>
  <si>
    <t>FA-0018</t>
  </si>
  <si>
    <t>Branch counters &amp; furniture - pool</t>
  </si>
  <si>
    <t>Furniture, equipment and vehicles</t>
  </si>
  <si>
    <t>FA-0019</t>
  </si>
  <si>
    <t>ATM fleet (565 units)</t>
  </si>
  <si>
    <t>FA-0020</t>
  </si>
  <si>
    <t>IT servers &amp; network equipment - Data Centre</t>
  </si>
  <si>
    <t>FA-0021</t>
  </si>
  <si>
    <t>Desktop/laptop fleet - Head Office</t>
  </si>
  <si>
    <t>FA-0022</t>
  </si>
  <si>
    <t>POS terminal fleet</t>
  </si>
  <si>
    <t>FA-0023</t>
  </si>
  <si>
    <t>Office furniture - Head Office</t>
  </si>
  <si>
    <t>FA-0024</t>
  </si>
  <si>
    <t>Vehicles - executive fleet</t>
  </si>
  <si>
    <t>FA-0025</t>
  </si>
  <si>
    <t>Vehicles - cash-in-transit fleet</t>
  </si>
  <si>
    <t>FA-0026</t>
  </si>
  <si>
    <t>Security &amp; CCTV systems - branches</t>
  </si>
  <si>
    <t>FA-0027</t>
  </si>
  <si>
    <t>Air conditioning &amp; branch M&amp;E equipment</t>
  </si>
  <si>
    <t>FA-0028</t>
  </si>
  <si>
    <t>Printers &amp; branch peripherals</t>
  </si>
  <si>
    <t>FA-0029</t>
  </si>
  <si>
    <t>Call centre equipment</t>
  </si>
  <si>
    <t>FA-0030</t>
  </si>
  <si>
    <t>Vault &amp; strongroom equipment</t>
  </si>
  <si>
    <t>FA-0031</t>
  </si>
  <si>
    <t>Generators - branches &amp; Data Centre</t>
  </si>
  <si>
    <t>FA-0032</t>
  </si>
  <si>
    <t>Disposed - legacy IT equipment (decommissioned)</t>
  </si>
  <si>
    <t>Head Office</t>
  </si>
  <si>
    <t>Jul-2018</t>
  </si>
  <si>
    <t>FA-0033</t>
  </si>
  <si>
    <t>New Core Banking System implementation</t>
  </si>
  <si>
    <t>Capital work in progress</t>
  </si>
  <si>
    <t>Head Office / Various</t>
  </si>
  <si>
    <t>In progress</t>
  </si>
  <si>
    <t>N/A (not yet in use)</t>
  </si>
  <si>
    <t>FA-0034</t>
  </si>
  <si>
    <t>Data Lake &amp; analytics platform build-out</t>
  </si>
  <si>
    <t>FA-0035</t>
  </si>
  <si>
    <t>Private Cloud infrastructure project</t>
  </si>
  <si>
    <t>FA-0036</t>
  </si>
  <si>
    <t>Payment Hub modernisation project</t>
  </si>
  <si>
    <t>FA-0037</t>
  </si>
  <si>
    <t>Head Office extension - fit-out</t>
  </si>
  <si>
    <t>FA-0038</t>
  </si>
  <si>
    <t>New branch network rollout - fit-out in progress</t>
  </si>
  <si>
    <t>FA-5000</t>
  </si>
  <si>
    <t>Leased branch premises - Riyadh (rented from landlord)</t>
  </si>
  <si>
    <t>ROU - Land and buildings</t>
  </si>
  <si>
    <t>Various lease commencement dates</t>
  </si>
  <si>
    <t>Lease term (5-15 yrs)</t>
  </si>
  <si>
    <t>FA-5001</t>
  </si>
  <si>
    <t>Leased branch premises - Jeddah (rented from landlord)</t>
  </si>
  <si>
    <t>Jeddah</t>
  </si>
  <si>
    <t>FA-5002</t>
  </si>
  <si>
    <t>Leased branch premises - Dammam (rented from landlord)</t>
  </si>
  <si>
    <t>Dammam</t>
  </si>
  <si>
    <t>FA-5003</t>
  </si>
  <si>
    <t>Leased branch premises - Khobar (rented from landlord)</t>
  </si>
  <si>
    <t>FA-5004</t>
  </si>
  <si>
    <t>Leased branch premises - Madinah (rented from landlord)</t>
  </si>
  <si>
    <t>Madinah</t>
  </si>
  <si>
    <t>FA-5005</t>
  </si>
  <si>
    <t>Leased branch premises - Makkah (rented from landlord)</t>
  </si>
  <si>
    <t>Makkah</t>
  </si>
  <si>
    <t>FA-5006</t>
  </si>
  <si>
    <t>Leased branch premises - Abha (rented from landlord)</t>
  </si>
  <si>
    <t>Abha</t>
  </si>
  <si>
    <t>FA-5007</t>
  </si>
  <si>
    <t>Leased branch premises - Tabuk (rented from landlord)</t>
  </si>
  <si>
    <t>Tabuk</t>
  </si>
  <si>
    <t>FA-5008</t>
  </si>
  <si>
    <t>Leased branch premises - Jubail (rented from landlord)</t>
  </si>
  <si>
    <t>Jubail</t>
  </si>
  <si>
    <t>FA-5009</t>
  </si>
  <si>
    <t>Leased branch premises - Hofuf (rented from landlord)</t>
  </si>
  <si>
    <t>Hofuf</t>
  </si>
  <si>
    <t>FA-5010</t>
  </si>
  <si>
    <t>Leased branch premises - Buraydah (rented from landlord)</t>
  </si>
  <si>
    <t>Buraydah</t>
  </si>
  <si>
    <t>FA-5011</t>
  </si>
  <si>
    <t>Leased branch premises - Hail (rented from landlord)</t>
  </si>
  <si>
    <t>Hail</t>
  </si>
  <si>
    <t>FA-5012</t>
  </si>
  <si>
    <t>Leased branch premises - Najran (rented from landlord)</t>
  </si>
  <si>
    <t>Najran</t>
  </si>
  <si>
    <t>FA-5013</t>
  </si>
  <si>
    <t>Leased branch premises - Jazan (rented from landlord)</t>
  </si>
  <si>
    <t>Jazan</t>
  </si>
  <si>
    <t>FA-5014</t>
  </si>
  <si>
    <t>Leased branch premises - Yanbu (rented from landlord)</t>
  </si>
  <si>
    <t>Yanbu</t>
  </si>
  <si>
    <t>FA-5015</t>
  </si>
  <si>
    <t>Leased branch premises - Taif (rented from landlord)</t>
  </si>
  <si>
    <t>Taif</t>
  </si>
  <si>
    <t>FA-5016</t>
  </si>
  <si>
    <t>Leased office equipment - copiers/printers (Head Office)</t>
  </si>
  <si>
    <t>ROU - Office equipment</t>
  </si>
  <si>
    <t>2024</t>
  </si>
  <si>
    <t>FA-5017</t>
  </si>
  <si>
    <t>Leased office equipment - branches</t>
  </si>
  <si>
    <t>FA-5018</t>
  </si>
  <si>
    <t>Leased vehicles - cash-in-transit (existing)</t>
  </si>
  <si>
    <t>ROU - Vehicles</t>
  </si>
  <si>
    <t>2023</t>
  </si>
  <si>
    <t>FA-5019</t>
  </si>
  <si>
    <t>Leased vehicles - executive pool (new lease 2025)</t>
  </si>
  <si>
    <t>2025</t>
  </si>
  <si>
    <t>FA-5020</t>
  </si>
  <si>
    <t>Core Banking System - software licence</t>
  </si>
  <si>
    <t>Computer software</t>
  </si>
  <si>
    <t>Head Office (IT)</t>
  </si>
  <si>
    <t>FA-5021</t>
  </si>
  <si>
    <t>CRM platform - software licence</t>
  </si>
  <si>
    <t>FA-5022</t>
  </si>
  <si>
    <t>Payment Hub - software licence</t>
  </si>
  <si>
    <t>FA-5023</t>
  </si>
  <si>
    <t>Data Lake &amp; analytics platform - software licence</t>
  </si>
  <si>
    <t>FA-5024</t>
  </si>
  <si>
    <t>Cybersecurity &amp; fraud monitoring software</t>
  </si>
  <si>
    <t>FA-5025</t>
  </si>
  <si>
    <t>Internet &amp; mobile banking application</t>
  </si>
  <si>
    <t>FA-5026</t>
  </si>
  <si>
    <t>Treasury &amp; ALM system software</t>
  </si>
  <si>
    <t>FA-5027</t>
  </si>
  <si>
    <t>AML / compliance monitoring software</t>
  </si>
  <si>
    <t>FA-5028</t>
  </si>
  <si>
    <t>HR &amp; payroll system software</t>
  </si>
  <si>
    <t>FA-5029</t>
  </si>
  <si>
    <t>AI / GenAI banking platform - development in progress</t>
  </si>
  <si>
    <t>Intangible work in progress</t>
  </si>
  <si>
    <t>FA-5030</t>
  </si>
  <si>
    <t>Next-gen mobile app rebuild - development in progress</t>
  </si>
  <si>
    <t>FA-5031</t>
  </si>
  <si>
    <t>Open banking API gateway - development in progress</t>
  </si>
  <si>
    <t>FA-5032</t>
  </si>
  <si>
    <t>Data governance &amp; MDM platform - development in progress</t>
  </si>
  <si>
    <t>Security ID</t>
  </si>
  <si>
    <t>Security / Counterparty Name</t>
  </si>
  <si>
    <t>Classification</t>
  </si>
  <si>
    <t>Instrument Type</t>
  </si>
  <si>
    <t>Domicile</t>
  </si>
  <si>
    <t>Currency</t>
  </si>
  <si>
    <t>Issue/Purchase Date</t>
  </si>
  <si>
    <t>Maturity Date</t>
  </si>
  <si>
    <t>Coupon / Profit Rate</t>
  </si>
  <si>
    <t>Credit Rating</t>
  </si>
  <si>
    <t>ECL Stage</t>
  </si>
  <si>
    <t>Face / Nominal Value</t>
  </si>
  <si>
    <t>Carrying Value
31-Dec-2025</t>
  </si>
  <si>
    <t>Carrying Value
31-Dec-2024</t>
  </si>
  <si>
    <t>Allowance for
Impairment 2025</t>
  </si>
  <si>
    <t>INV-0001</t>
  </si>
  <si>
    <t>AlJazira Saudi Equities Fund</t>
  </si>
  <si>
    <t>FVIS</t>
  </si>
  <si>
    <t>Domestic</t>
  </si>
  <si>
    <t>SAR</t>
  </si>
  <si>
    <t>Open-ended</t>
  </si>
  <si>
    <t>NAV-based</t>
  </si>
  <si>
    <t>Unrated (fund)</t>
  </si>
  <si>
    <t>N/A</t>
  </si>
  <si>
    <t>INV-0002</t>
  </si>
  <si>
    <t>AlJazira GCC Income Fund</t>
  </si>
  <si>
    <t>INV-0003</t>
  </si>
  <si>
    <t>Diversified Conservative Fund</t>
  </si>
  <si>
    <t>INV-0004</t>
  </si>
  <si>
    <t>AlJazira Sukuk Fund</t>
  </si>
  <si>
    <t>INV-0005</t>
  </si>
  <si>
    <t>AlJazira International Equities Fund</t>
  </si>
  <si>
    <t>International</t>
  </si>
  <si>
    <t>USD</t>
  </si>
  <si>
    <t>INV-0006</t>
  </si>
  <si>
    <t>Global Emerging Market Fund</t>
  </si>
  <si>
    <t>INV-0007</t>
  </si>
  <si>
    <t>AlJazira Private Equity Fund - Ecommerce</t>
  </si>
  <si>
    <t>INV-0008</t>
  </si>
  <si>
    <t>AlJazira Private Equity Fund - Space Economy</t>
  </si>
  <si>
    <t>INV-0009</t>
  </si>
  <si>
    <t>AlJazira US Healthcare Income Fund</t>
  </si>
  <si>
    <t>INV-0010</t>
  </si>
  <si>
    <t>Tadawul-listed equity holdings - quoted (domestic)</t>
  </si>
  <si>
    <t>Listed</t>
  </si>
  <si>
    <t>INV-0011</t>
  </si>
  <si>
    <t>Unquoted equity investment - Co. A (financial sector)</t>
  </si>
  <si>
    <t>Unrated</t>
  </si>
  <si>
    <t>INV-0012</t>
  </si>
  <si>
    <t>Unquoted equity investment - Co. B (fintech)</t>
  </si>
  <si>
    <t>INV-0013</t>
  </si>
  <si>
    <t>Unquoted equity investment - Co. C (real estate)</t>
  </si>
  <si>
    <t>INV-0014</t>
  </si>
  <si>
    <t>Unquoted equity investment - international holding</t>
  </si>
  <si>
    <t>INV-0015</t>
  </si>
  <si>
    <t>Convertible debt instrument - international fintech</t>
  </si>
  <si>
    <t>2026</t>
  </si>
  <si>
    <t>Conversion-linked</t>
  </si>
  <si>
    <t>INV-0016</t>
  </si>
  <si>
    <t>FVOCI unquoted equity - Co. D (insurance sector)</t>
  </si>
  <si>
    <t>FVOCI</t>
  </si>
  <si>
    <t>INV-0017</t>
  </si>
  <si>
    <t>FVOCI unquoted equity - Co. E (industrial)</t>
  </si>
  <si>
    <t>INV-0018</t>
  </si>
  <si>
    <t>FVOCI unquoted equity - Co. F (services)</t>
  </si>
  <si>
    <t>INV-0019</t>
  </si>
  <si>
    <t>FVOCI unquoted equity - international holding</t>
  </si>
  <si>
    <t>INV-0020</t>
  </si>
  <si>
    <t>Government / quasi-government Sukuk #1 - fixed rate (equity-classified)</t>
  </si>
  <si>
    <t>2020</t>
  </si>
  <si>
    <t>2030</t>
  </si>
  <si>
    <t>3.50%</t>
  </si>
  <si>
    <t>Aa3</t>
  </si>
  <si>
    <t>Stage 1</t>
  </si>
  <si>
    <t>INV-0021</t>
  </si>
  <si>
    <t>Government / quasi-government Sukuk #2 - fixed rate (equity-classified)</t>
  </si>
  <si>
    <t>2021</t>
  </si>
  <si>
    <t>2031</t>
  </si>
  <si>
    <t>3.70%</t>
  </si>
  <si>
    <t>A2</t>
  </si>
  <si>
    <t>INV-0022</t>
  </si>
  <si>
    <t>Government / quasi-government Sukuk #3 - fixed rate (equity-classified)</t>
  </si>
  <si>
    <t>2022</t>
  </si>
  <si>
    <t>2032</t>
  </si>
  <si>
    <t>3.90%</t>
  </si>
  <si>
    <t>A3</t>
  </si>
  <si>
    <t>INV-0023</t>
  </si>
  <si>
    <t>Government / quasi-government Sukuk #4 - fixed rate (equity-classified)</t>
  </si>
  <si>
    <t>2033</t>
  </si>
  <si>
    <t>4.10%</t>
  </si>
  <si>
    <t>Baa1</t>
  </si>
  <si>
    <t>INV-0024</t>
  </si>
  <si>
    <t>Government / quasi-government Sukuk #5 - fixed rate (equity-classified)</t>
  </si>
  <si>
    <t>2034</t>
  </si>
  <si>
    <t>4.30%</t>
  </si>
  <si>
    <t>Baa3</t>
  </si>
  <si>
    <t>INV-0025</t>
  </si>
  <si>
    <t>International Sukuk - fixed rate (equity-classified)</t>
  </si>
  <si>
    <t>INV-0026</t>
  </si>
  <si>
    <t>Floating rate Sukuk - equities #1 (bank issuer)</t>
  </si>
  <si>
    <t>2029</t>
  </si>
  <si>
    <t>SAIBOR+1.20%</t>
  </si>
  <si>
    <t>INV-0027</t>
  </si>
  <si>
    <t>Floating rate Sukuk - equities #2 (corporate issuer)</t>
  </si>
  <si>
    <t>INV-0028</t>
  </si>
  <si>
    <t>Saudi Government Sukuk #1 - fixed rate</t>
  </si>
  <si>
    <t>2018</t>
  </si>
  <si>
    <t>2028</t>
  </si>
  <si>
    <t>3.20%</t>
  </si>
  <si>
    <t>INV-0029</t>
  </si>
  <si>
    <t>Saudi Government Sukuk #2 - fixed rate</t>
  </si>
  <si>
    <t>2019</t>
  </si>
  <si>
    <t>3.35%</t>
  </si>
  <si>
    <t>INV-0030</t>
  </si>
  <si>
    <t>Saudi Government Sukuk #3 - fixed rate</t>
  </si>
  <si>
    <t>INV-0031</t>
  </si>
  <si>
    <t>Saudi Government Sukuk #4 - fixed rate</t>
  </si>
  <si>
    <t>3.65%</t>
  </si>
  <si>
    <t>INV-0032</t>
  </si>
  <si>
    <t>Saudi Government Sukuk #5 - fixed rate</t>
  </si>
  <si>
    <t>3.80%</t>
  </si>
  <si>
    <t>INV-0033</t>
  </si>
  <si>
    <t>Saudi Government Sukuk #6 - fixed rate</t>
  </si>
  <si>
    <t>3.95%</t>
  </si>
  <si>
    <t>INV-0034</t>
  </si>
  <si>
    <t>Saudi Government Sukuk #7 - fixed rate</t>
  </si>
  <si>
    <t>INV-0035</t>
  </si>
  <si>
    <t>Saudi Government Sukuk #8 - fixed rate</t>
  </si>
  <si>
    <t>2035</t>
  </si>
  <si>
    <t>4.25%</t>
  </si>
  <si>
    <t>INV-0036</t>
  </si>
  <si>
    <t>Floating rate Sukuk #1 - bank/corporate issuer</t>
  </si>
  <si>
    <t>SAIBOR+1.00%</t>
  </si>
  <si>
    <t>INV-0037</t>
  </si>
  <si>
    <t>Floating rate Sukuk #2 - bank/corporate issuer</t>
  </si>
  <si>
    <t>INV-0038</t>
  </si>
  <si>
    <t>Floating rate Sukuk #3 - bank/corporate issuer</t>
  </si>
  <si>
    <t>INV-0039</t>
  </si>
  <si>
    <t>Less: Allowance for impairment - FVOCI debt securities (Stage 1, 12-month ECL)</t>
  </si>
  <si>
    <t>ECL allowance</t>
  </si>
  <si>
    <t>INV-3000</t>
  </si>
  <si>
    <t>Saudi Government / SAMA Sukuk #1 - fixed rate (HTC)</t>
  </si>
  <si>
    <t>Amortised Cost</t>
  </si>
  <si>
    <t>2015</t>
  </si>
  <si>
    <t>2027</t>
  </si>
  <si>
    <t>3.00%</t>
  </si>
  <si>
    <t>INV-3001</t>
  </si>
  <si>
    <t>Saudi Government / SAMA Sukuk #2 - fixed rate (HTC)</t>
  </si>
  <si>
    <t>2016</t>
  </si>
  <si>
    <t>3.12%</t>
  </si>
  <si>
    <t>INV-3002</t>
  </si>
  <si>
    <t>Saudi Government / SAMA Sukuk #3 - fixed rate (HTC)</t>
  </si>
  <si>
    <t>2017</t>
  </si>
  <si>
    <t>3.24%</t>
  </si>
  <si>
    <t>INV-3003</t>
  </si>
  <si>
    <t>Saudi Government / SAMA Sukuk #4 - fixed rate (HTC)</t>
  </si>
  <si>
    <t>3.36%</t>
  </si>
  <si>
    <t>INV-3004</t>
  </si>
  <si>
    <t>Saudi Government / SAMA Sukuk #5 - fixed rate (HTC)</t>
  </si>
  <si>
    <t>3.48%</t>
  </si>
  <si>
    <t>INV-3005</t>
  </si>
  <si>
    <t>Saudi Government / SAMA Sukuk #6 - fixed rate (HTC)</t>
  </si>
  <si>
    <t>3.60%</t>
  </si>
  <si>
    <t>INV-3006</t>
  </si>
  <si>
    <t>Saudi Government / SAMA Sukuk #7 - fixed rate (HTC)</t>
  </si>
  <si>
    <t>3.72%</t>
  </si>
  <si>
    <t>INV-3007</t>
  </si>
  <si>
    <t>Saudi Government / SAMA Sukuk #8 - fixed rate (HTC)</t>
  </si>
  <si>
    <t>3.84%</t>
  </si>
  <si>
    <t>INV-3008</t>
  </si>
  <si>
    <t>Saudi Government / SAMA Sukuk #9 - fixed rate (HTC)</t>
  </si>
  <si>
    <t>3.96%</t>
  </si>
  <si>
    <t>INV-3009</t>
  </si>
  <si>
    <t>Saudi Government / SAMA Sukuk #10 - fixed rate (HTC)</t>
  </si>
  <si>
    <t>2036</t>
  </si>
  <si>
    <t>4.08%</t>
  </si>
  <si>
    <t>INV-3010</t>
  </si>
  <si>
    <t>International Sukuk - fixed rate (HTC)</t>
  </si>
  <si>
    <t>3.85%</t>
  </si>
  <si>
    <t>INV-3011</t>
  </si>
  <si>
    <t>Floating rate Sukuk #1 - bank/corporate issuer (HTC)</t>
  </si>
  <si>
    <t>SAIBOR+0.95%</t>
  </si>
  <si>
    <t>INV-3012</t>
  </si>
  <si>
    <t>Floating rate Sukuk #2 - bank/corporate issuer (HTC)</t>
  </si>
  <si>
    <t>INV-3013</t>
  </si>
  <si>
    <t>Floating rate Sukuk #3 - bank/corporate issuer (HTC)</t>
  </si>
  <si>
    <t>INV-3014</t>
  </si>
  <si>
    <t>Floating rate Sukuk #4 - bank/corporate issuer (HTC)</t>
  </si>
  <si>
    <t>INV-3015</t>
  </si>
  <si>
    <t>Floating rate Sukuk #5 - bank/corporate issuer (HTC)</t>
  </si>
  <si>
    <t>INV-3016</t>
  </si>
  <si>
    <t>Wakala floating rate notes - SAMA (matured/redeemed in 2025)</t>
  </si>
  <si>
    <t>2025 (redeemed)</t>
  </si>
  <si>
    <t>SAIBOR-linked</t>
  </si>
  <si>
    <t>INV-3017</t>
  </si>
  <si>
    <t>Less: Allowance for impairment - Amortised cost debt (Domestic, Stage 1)</t>
  </si>
  <si>
    <t>INV-3018</t>
  </si>
  <si>
    <t>Less: Allowance for impairment - Amortised cost debt (International, Stage 1)</t>
  </si>
  <si>
    <t>Loan/Facility ID</t>
  </si>
  <si>
    <t>Customer Name (anonymised)</t>
  </si>
  <si>
    <t>Segment</t>
  </si>
  <si>
    <t>Economic Sector</t>
  </si>
  <si>
    <t>Shari'ah Product</t>
  </si>
  <si>
    <t>Origination Date</t>
  </si>
  <si>
    <t>Profit Rate</t>
  </si>
  <si>
    <t>Performing / NPL</t>
  </si>
  <si>
    <t>Stage (illustrative)</t>
  </si>
  <si>
    <t>Gross Financing
31-Dec-2025</t>
  </si>
  <si>
    <t>Financing, net
2025</t>
  </si>
  <si>
    <t>Gross Financing
31-Dec-2024</t>
  </si>
  <si>
    <t>LN-00001</t>
  </si>
  <si>
    <t>Corporate Customer 001</t>
  </si>
  <si>
    <t>Commercial</t>
  </si>
  <si>
    <t>Corporate</t>
  </si>
  <si>
    <t>Manufacturing</t>
  </si>
  <si>
    <t>Murabaha</t>
  </si>
  <si>
    <t>SAIBOR+2.10%</t>
  </si>
  <si>
    <t>Performing</t>
  </si>
  <si>
    <t>Stage 2 (Watch list)</t>
  </si>
  <si>
    <t>LN-00002</t>
  </si>
  <si>
    <t>Corporate Customer 002</t>
  </si>
  <si>
    <t>Building and construction</t>
  </si>
  <si>
    <t>Tawarraq</t>
  </si>
  <si>
    <t>LN-00003</t>
  </si>
  <si>
    <t>Corporate Customer 003</t>
  </si>
  <si>
    <t>LN-00004</t>
  </si>
  <si>
    <t>Corporate Customer 004</t>
  </si>
  <si>
    <t>Ijarah</t>
  </si>
  <si>
    <t>LN-00005</t>
  </si>
  <si>
    <t>Corporate Customer 005</t>
  </si>
  <si>
    <t>LN-00006</t>
  </si>
  <si>
    <t>Corporate Customer 006</t>
  </si>
  <si>
    <t>Commerce</t>
  </si>
  <si>
    <t>LN-00007</t>
  </si>
  <si>
    <t>Corporate Customer 007</t>
  </si>
  <si>
    <t>LN-00008</t>
  </si>
  <si>
    <t>Corporate Customer 008</t>
  </si>
  <si>
    <t>LN-00009</t>
  </si>
  <si>
    <t>Corporate Customer 009</t>
  </si>
  <si>
    <t>LN-00010</t>
  </si>
  <si>
    <t>Corporate Customer 010</t>
  </si>
  <si>
    <t>LN-00011</t>
  </si>
  <si>
    <t>Corporate Customer 011</t>
  </si>
  <si>
    <t>Services</t>
  </si>
  <si>
    <t>LN-00012</t>
  </si>
  <si>
    <t>Corporate Customer 012</t>
  </si>
  <si>
    <t>Government and quasi Government</t>
  </si>
  <si>
    <t>LN-00013</t>
  </si>
  <si>
    <t>Corporate Customer 013</t>
  </si>
  <si>
    <t>LN-00014</t>
  </si>
  <si>
    <t>Corporate Customer 014</t>
  </si>
  <si>
    <t>LN-00015</t>
  </si>
  <si>
    <t>Corporate NPL Customer 001</t>
  </si>
  <si>
    <t>2012</t>
  </si>
  <si>
    <t>Non-performing</t>
  </si>
  <si>
    <t>Stage 3</t>
  </si>
  <si>
    <t>LN-00016</t>
  </si>
  <si>
    <t>Corporate NPL Customer 002</t>
  </si>
  <si>
    <t>2013</t>
  </si>
  <si>
    <t>LN-00017</t>
  </si>
  <si>
    <t>Corporate NPL Customer 003</t>
  </si>
  <si>
    <t>2014</t>
  </si>
  <si>
    <t>LN-00018</t>
  </si>
  <si>
    <t>Corporate NPL Customer 004</t>
  </si>
  <si>
    <t>LN-00019</t>
  </si>
  <si>
    <t>MSME Customer 001</t>
  </si>
  <si>
    <t>MSME</t>
  </si>
  <si>
    <t>SAIBOR+3.50%</t>
  </si>
  <si>
    <t>LN-00020</t>
  </si>
  <si>
    <t>MSME Customer 002</t>
  </si>
  <si>
    <t>LN-00021</t>
  </si>
  <si>
    <t>MSME Customer 003</t>
  </si>
  <si>
    <t>LN-00022</t>
  </si>
  <si>
    <t>MSME Customer 004</t>
  </si>
  <si>
    <t>Qard Alhasan/Others</t>
  </si>
  <si>
    <t>LN-00023</t>
  </si>
  <si>
    <t>MSME Customer 005</t>
  </si>
  <si>
    <t>LN-00024</t>
  </si>
  <si>
    <t>MSME Customer 006</t>
  </si>
  <si>
    <t>LN-00025</t>
  </si>
  <si>
    <t>MSME Customer 007</t>
  </si>
  <si>
    <t>LN-00026</t>
  </si>
  <si>
    <t>MSME Customer 008</t>
  </si>
  <si>
    <t>LN-00027</t>
  </si>
  <si>
    <t>MSME Customer 009</t>
  </si>
  <si>
    <t>LN-00028</t>
  </si>
  <si>
    <t>MSME Customer 010</t>
  </si>
  <si>
    <t>LN-00029</t>
  </si>
  <si>
    <t>MSME NPL Customer 001</t>
  </si>
  <si>
    <t>LN-00030</t>
  </si>
  <si>
    <t>MSME NPL Customer 002</t>
  </si>
  <si>
    <t>LN-00031</t>
  </si>
  <si>
    <t>MSME NPL Customer 003</t>
  </si>
  <si>
    <t>LN-00032</t>
  </si>
  <si>
    <t>Other Commercial Customer 001</t>
  </si>
  <si>
    <t>Other Commercial</t>
  </si>
  <si>
    <t>Transportation and communication</t>
  </si>
  <si>
    <t>SAIBOR+2.75%</t>
  </si>
  <si>
    <t>LN-00033</t>
  </si>
  <si>
    <t>Other Commercial Customer 002</t>
  </si>
  <si>
    <t>LN-00034</t>
  </si>
  <si>
    <t>Other Commercial Customer 003</t>
  </si>
  <si>
    <t>LN-00035</t>
  </si>
  <si>
    <t>Other Commercial Customer 004</t>
  </si>
  <si>
    <t>LN-00036</t>
  </si>
  <si>
    <t>Other Commercial Customer 005</t>
  </si>
  <si>
    <t>LN-00037</t>
  </si>
  <si>
    <t>Other Commercial Customer 006</t>
  </si>
  <si>
    <t>LN-00038</t>
  </si>
  <si>
    <t>Other Commercial Customer 007</t>
  </si>
  <si>
    <t>LN-00039</t>
  </si>
  <si>
    <t>Other Commercial Customer 008</t>
  </si>
  <si>
    <t>LN-00040</t>
  </si>
  <si>
    <t>Other Commercial Customer 009</t>
  </si>
  <si>
    <t>LN-00041</t>
  </si>
  <si>
    <t>Other Commercial NPL Customer 001</t>
  </si>
  <si>
    <t>LN-00042</t>
  </si>
  <si>
    <t>Other Commercial NPL Customer 002</t>
  </si>
  <si>
    <t>LN-06000</t>
  </si>
  <si>
    <t>Personal Finance Customer 001</t>
  </si>
  <si>
    <t>Consumer</t>
  </si>
  <si>
    <t>Personal Finance</t>
  </si>
  <si>
    <t>Consumer financing and credit cards</t>
  </si>
  <si>
    <t>8.50% fixed</t>
  </si>
  <si>
    <t>LN-06001</t>
  </si>
  <si>
    <t>Personal Finance Customer 002</t>
  </si>
  <si>
    <t>LN-06002</t>
  </si>
  <si>
    <t>Personal Finance Customer 003</t>
  </si>
  <si>
    <t>LN-06003</t>
  </si>
  <si>
    <t>Personal Finance Customer 004</t>
  </si>
  <si>
    <t>LN-06004</t>
  </si>
  <si>
    <t>Personal Finance Customer 005</t>
  </si>
  <si>
    <t>LN-06005</t>
  </si>
  <si>
    <t>Personal Finance Customer 006</t>
  </si>
  <si>
    <t>LN-06006</t>
  </si>
  <si>
    <t>Personal Finance Customer 007</t>
  </si>
  <si>
    <t>LN-06007</t>
  </si>
  <si>
    <t>Personal Finance Customer 008</t>
  </si>
  <si>
    <t>LN-06008</t>
  </si>
  <si>
    <t>Personal Finance Customer 009</t>
  </si>
  <si>
    <t>LN-06009</t>
  </si>
  <si>
    <t>Personal Finance Customer 010</t>
  </si>
  <si>
    <t>LN-06010</t>
  </si>
  <si>
    <t>Personal Finance Customer 011</t>
  </si>
  <si>
    <t>LN-06011</t>
  </si>
  <si>
    <t>Personal Finance Customer 012</t>
  </si>
  <si>
    <t>LN-06012</t>
  </si>
  <si>
    <t>Personal Finance NPL Customer 001</t>
  </si>
  <si>
    <t>LN-06013</t>
  </si>
  <si>
    <t>Personal Finance NPL Customer 002</t>
  </si>
  <si>
    <t>LN-06014</t>
  </si>
  <si>
    <t>Personal Finance NPL Customer 003</t>
  </si>
  <si>
    <t>LN-06015</t>
  </si>
  <si>
    <t>Real Estate Customer 001</t>
  </si>
  <si>
    <t>Real Estate</t>
  </si>
  <si>
    <t>7.25% fixed</t>
  </si>
  <si>
    <t>LN-06016</t>
  </si>
  <si>
    <t>Real Estate Customer 002</t>
  </si>
  <si>
    <t>LN-06017</t>
  </si>
  <si>
    <t>Real Estate Customer 003</t>
  </si>
  <si>
    <t>LN-06018</t>
  </si>
  <si>
    <t>Real Estate Customer 004</t>
  </si>
  <si>
    <t>LN-06019</t>
  </si>
  <si>
    <t>Real Estate Customer 005</t>
  </si>
  <si>
    <t>LN-06020</t>
  </si>
  <si>
    <t>Real Estate Customer 006</t>
  </si>
  <si>
    <t>LN-06021</t>
  </si>
  <si>
    <t>Real Estate Customer 007</t>
  </si>
  <si>
    <t>LN-06022</t>
  </si>
  <si>
    <t>Real Estate Customer 008</t>
  </si>
  <si>
    <t>LN-06023</t>
  </si>
  <si>
    <t>Real Estate Customer 009</t>
  </si>
  <si>
    <t>LN-06024</t>
  </si>
  <si>
    <t>Real Estate Customer 010</t>
  </si>
  <si>
    <t>LN-06025</t>
  </si>
  <si>
    <t>Real Estate Customer 011</t>
  </si>
  <si>
    <t>LN-06026</t>
  </si>
  <si>
    <t>Real Estate Customer 012</t>
  </si>
  <si>
    <t>LN-06027</t>
  </si>
  <si>
    <t>Real Estate Customer 013</t>
  </si>
  <si>
    <t>LN-06028</t>
  </si>
  <si>
    <t>Real Estate Customer 014</t>
  </si>
  <si>
    <t>LN-06029</t>
  </si>
  <si>
    <t>Real Estate NPL Customer 001</t>
  </si>
  <si>
    <t>LN-06030</t>
  </si>
  <si>
    <t>Real Estate NPL Customer 002</t>
  </si>
  <si>
    <t>LN-06031</t>
  </si>
  <si>
    <t>Real Estate NPL Customer 003</t>
  </si>
  <si>
    <t>LN-06032</t>
  </si>
  <si>
    <t>Auto Lease Customer 001</t>
  </si>
  <si>
    <t>Auto Lease</t>
  </si>
  <si>
    <t>6.80% fixed</t>
  </si>
  <si>
    <t>LN-06033</t>
  </si>
  <si>
    <t>Auto Lease Customer 002</t>
  </si>
  <si>
    <t>LN-06034</t>
  </si>
  <si>
    <t>Auto Lease Customer 003</t>
  </si>
  <si>
    <t>LN-06035</t>
  </si>
  <si>
    <t>Auto Lease Customer 004</t>
  </si>
  <si>
    <t>LN-06036</t>
  </si>
  <si>
    <t>Auto Lease Customer 005</t>
  </si>
  <si>
    <t>LN-06037</t>
  </si>
  <si>
    <t>Auto Lease Customer 006</t>
  </si>
  <si>
    <t>LN-06038</t>
  </si>
  <si>
    <t>Auto Lease Customer 007</t>
  </si>
  <si>
    <t>LN-06039</t>
  </si>
  <si>
    <t>Auto Lease Customer 008</t>
  </si>
  <si>
    <t>LN-06040</t>
  </si>
  <si>
    <t>Auto Lease NPL Customer 001</t>
  </si>
  <si>
    <t>LN-06041</t>
  </si>
  <si>
    <t>Auto Lease NPL Customer 002</t>
  </si>
  <si>
    <t>LN-06042</t>
  </si>
  <si>
    <t>Credit card portfolio - performing (aggregated batch, ~thousands of cardholders)</t>
  </si>
  <si>
    <t>Credit Cards</t>
  </si>
  <si>
    <t>Revolving</t>
  </si>
  <si>
    <t>24.00% APR</t>
  </si>
  <si>
    <t>Stage 1/2 (revolving, behavioural)</t>
  </si>
  <si>
    <t>LN-06043</t>
  </si>
  <si>
    <t>Credit card portfolio - non-performing (aggregated batch, 90+ days past due)</t>
  </si>
  <si>
    <t>LN-06044</t>
  </si>
  <si>
    <t>Other Consumer Customer 001</t>
  </si>
  <si>
    <t>Other Consumer</t>
  </si>
  <si>
    <t>5.00% staff rate</t>
  </si>
  <si>
    <t>LN-06045</t>
  </si>
  <si>
    <t>Other Consumer Customer 002</t>
  </si>
  <si>
    <t>LN-06046</t>
  </si>
  <si>
    <t>Other Consumer Customer 003</t>
  </si>
  <si>
    <t>LN-06047</t>
  </si>
  <si>
    <t>Other Consumer Customer 004</t>
  </si>
  <si>
    <t>LN-06048</t>
  </si>
  <si>
    <t>Other Consumer Customer 005</t>
  </si>
  <si>
    <t>LN-06049</t>
  </si>
  <si>
    <t>Other Consumer Customer 006</t>
  </si>
  <si>
    <t>LN-06050</t>
  </si>
  <si>
    <t>Other Consumer NPL Customer 001</t>
  </si>
  <si>
    <t>Stage 1
Allowance</t>
  </si>
  <si>
    <t>Stage 2
Allowance</t>
  </si>
  <si>
    <t>Stage 3
Allowance</t>
  </si>
  <si>
    <t>Total
Allowance</t>
  </si>
  <si>
    <t>Stage 1
Gross</t>
  </si>
  <si>
    <t>Stage 2
Gross</t>
  </si>
  <si>
    <t>Stage 3
Gross</t>
  </si>
  <si>
    <t>Total
Gross</t>
  </si>
  <si>
    <t>At 1 January 2025</t>
  </si>
  <si>
    <t>Transfers - to 12-months</t>
  </si>
  <si>
    <t>Transfers - to lifetime (Stage 2)</t>
  </si>
  <si>
    <t>Transfers - to credit-impaired (Stage 3)</t>
  </si>
  <si>
    <t>New originated or purchased</t>
  </si>
  <si>
    <t>Derecognised during the year</t>
  </si>
  <si>
    <t>Other movements</t>
  </si>
  <si>
    <t>Changes in profit accrual</t>
  </si>
  <si>
    <t>Write-offs</t>
  </si>
  <si>
    <t>Stage 1 Gross</t>
  </si>
  <si>
    <t>Stage 2 Gross</t>
  </si>
  <si>
    <t>Stage 3 Gross</t>
  </si>
  <si>
    <t>Total Gross</t>
  </si>
  <si>
    <t>Stage 1 Allow.</t>
  </si>
  <si>
    <t>Stage 2 Allow.</t>
  </si>
  <si>
    <t>Stage 3 Allow.</t>
  </si>
  <si>
    <t>Total Allow.</t>
  </si>
  <si>
    <t>Commercial 2025</t>
  </si>
  <si>
    <t>Consumer 2025</t>
  </si>
  <si>
    <t>Total 2025</t>
  </si>
  <si>
    <t>Opening ECL allowance - 1 Jan 2025</t>
  </si>
  <si>
    <t>Impairment charge for the year</t>
  </si>
  <si>
    <t>Bad debts written off during the year</t>
  </si>
  <si>
    <t>Recoveries/reversals of amounts previously provided</t>
  </si>
  <si>
    <t>Net impairment (reversal)/charge - non-funded financing and CRC</t>
  </si>
  <si>
    <t>Impairment reversal for other real estate, net (2024 only)</t>
  </si>
  <si>
    <t>Gross financing</t>
  </si>
  <si>
    <t>Sector</t>
  </si>
  <si>
    <t>Allowance for impairment</t>
  </si>
  <si>
    <t>Banks and other financial institutions</t>
  </si>
  <si>
    <t>Mining and quarrying</t>
  </si>
  <si>
    <t>Electricity, water, gas and health services</t>
  </si>
  <si>
    <t>Share trading</t>
  </si>
  <si>
    <t>G) OTHER REAL ESTATE, NET - MOVEMENT (Note 7g) - see also 'Other Real Estate Register' tab for property-level detail</t>
  </si>
  <si>
    <t>Balance at beginning of year</t>
  </si>
  <si>
    <t>Additions during the year</t>
  </si>
  <si>
    <t>Disposals during the year</t>
  </si>
  <si>
    <t>Gross balance at end of year</t>
  </si>
  <si>
    <t>Net balance at end of year</t>
  </si>
  <si>
    <t>Assets - NC/C</t>
  </si>
  <si>
    <t>Liability - NC/C</t>
  </si>
  <si>
    <t>Adjustment</t>
  </si>
  <si>
    <t xml:space="preserve">Draft Fixed Asset Register </t>
  </si>
  <si>
    <t>Draft Investment Portfolio Data</t>
  </si>
  <si>
    <t>Draft Financing (net) Working</t>
  </si>
  <si>
    <t xml:space="preserve">A) COMMERCIAL FINANCING - CORPORATE  </t>
  </si>
  <si>
    <t xml:space="preserve">B) COMMERCIAL FINANCING - MSME  </t>
  </si>
  <si>
    <t xml:space="preserve">C) COMMERCIAL FINANCING - OTHERS  </t>
  </si>
  <si>
    <t xml:space="preserve">D) CONSUMER FINANCING - PERSONAL FINANCE  </t>
  </si>
  <si>
    <t xml:space="preserve">E) CONSUMER FINANCING - REAL ESTATE  </t>
  </si>
  <si>
    <t xml:space="preserve">F) CONSUMER FINANCING - AUTO LEASE  </t>
  </si>
  <si>
    <t xml:space="preserve">G) CONSUMER FINANCING - CREDIT CARDS  </t>
  </si>
  <si>
    <t xml:space="preserve">H) CONSUMER FINANCING - OTHERS  </t>
  </si>
  <si>
    <t xml:space="preserve">A) LAND AND BUILDINGS  </t>
  </si>
  <si>
    <t xml:space="preserve">B) LEASEHOLD IMPROVEMENTS  </t>
  </si>
  <si>
    <t xml:space="preserve">C) FURNITURE, EQUIPMENT AND VEHICLES  </t>
  </si>
  <si>
    <t xml:space="preserve">D) CAPITAL WORK IN PROGRESS  </t>
  </si>
  <si>
    <t xml:space="preserve">E) RIGHT-OF-USE ASSETS - LAND AND BUILDINGS (LEASED BRANCHES)  </t>
  </si>
  <si>
    <t xml:space="preserve">F) RIGHT-OF-USE ASSETS - OFFICE EQUIPMENT  </t>
  </si>
  <si>
    <t xml:space="preserve">G) RIGHT-OF-USE ASSETS - VEHICLES  </t>
  </si>
  <si>
    <t xml:space="preserve">H) INTANGIBLE ASSETS - COMPUTER SOFTWARE  </t>
  </si>
  <si>
    <t xml:space="preserve">I) INTANGIBLE ASSETS - WORK IN PROGRESS  </t>
  </si>
  <si>
    <t xml:space="preserve">A) HELD AT FVIS  </t>
  </si>
  <si>
    <t xml:space="preserve">B) HELD AT FVOCI  </t>
  </si>
  <si>
    <t xml:space="preserve">C) HELD AT AMORTISED COST  </t>
  </si>
  <si>
    <t xml:space="preserve">Draft Financing ECL Staging, Allowance Movement </t>
  </si>
  <si>
    <t xml:space="preserve">A) ECL ALLOWANCE &amp; GROSS CARRYING AMOUNT MOVEMENT </t>
  </si>
  <si>
    <t xml:space="preserve">B) ECL STAGE BY CATEGORY </t>
  </si>
  <si>
    <t xml:space="preserve">C) MOVEMENT IN ALLOWANCE FOR IMPAIRMENT - GL ROLL-FORWARD </t>
  </si>
  <si>
    <t xml:space="preserve">D) NET IMPAIRMENT CHARGE FOR FINANCING &amp; OTHER FINANCIAL ASSETS </t>
  </si>
  <si>
    <t>E) FINANCING BY SHARI'AH PRODUCT - ALLOCATION WORKPAPER</t>
  </si>
  <si>
    <t xml:space="preserve">F) ECONOMIC SECTOR RISK CONCENTRATION - ALLOCATION WORKPAPER - 31 DECEMBER 2025 </t>
  </si>
  <si>
    <t xml:space="preserve">Cash and Balances with SAMA </t>
  </si>
  <si>
    <t xml:space="preserve">A) CASH IN HAND </t>
  </si>
  <si>
    <t>Branch / Location</t>
  </si>
  <si>
    <t>Cost Centre Code</t>
  </si>
  <si>
    <t>Cash 
31-Dec-2025</t>
  </si>
  <si>
    <t>Cash 
31-Dec-2024</t>
  </si>
  <si>
    <t>Remarks</t>
  </si>
  <si>
    <t>Head Office - main vault</t>
  </si>
  <si>
    <t>HO-001</t>
  </si>
  <si>
    <t>Riyadh - Olaya Branch</t>
  </si>
  <si>
    <t>BR-101</t>
  </si>
  <si>
    <t>Riyadh - Malaz Branch</t>
  </si>
  <si>
    <t>BR-102</t>
  </si>
  <si>
    <t>Riyadh - Sulaimaniyah</t>
  </si>
  <si>
    <t>BR-103</t>
  </si>
  <si>
    <t>Jeddah - Tahlia Branch</t>
  </si>
  <si>
    <t>BR-201</t>
  </si>
  <si>
    <t>Jeddah - Corniche Branch</t>
  </si>
  <si>
    <t>BR-202</t>
  </si>
  <si>
    <t>Jeddah - Balad Branch</t>
  </si>
  <si>
    <t>BR-203</t>
  </si>
  <si>
    <t>Dammam - Main Branch</t>
  </si>
  <si>
    <t>BR-301</t>
  </si>
  <si>
    <t>Khobar - Main Branch</t>
  </si>
  <si>
    <t>BR-302</t>
  </si>
  <si>
    <t>Madinah Branch</t>
  </si>
  <si>
    <t>BR-401</t>
  </si>
  <si>
    <t>Makkah Branch</t>
  </si>
  <si>
    <t>BR-501</t>
  </si>
  <si>
    <t>Abha Branch</t>
  </si>
  <si>
    <t>BR-601</t>
  </si>
  <si>
    <t>Tabuk Branch</t>
  </si>
  <si>
    <t>BR-701</t>
  </si>
  <si>
    <t>Jubail Branch</t>
  </si>
  <si>
    <t>BR-801</t>
  </si>
  <si>
    <t>ATM replenishment float - all regions</t>
  </si>
  <si>
    <t>ATM-001</t>
  </si>
  <si>
    <t>USD vault - Head Office (foreign currency)</t>
  </si>
  <si>
    <t>HO-002</t>
  </si>
  <si>
    <t>EUR vault - Head Office (foreign currency)</t>
  </si>
  <si>
    <t>HO-003</t>
  </si>
  <si>
    <t>EUR</t>
  </si>
  <si>
    <t>Other foreign currency vault</t>
  </si>
  <si>
    <t>HO-004</t>
  </si>
  <si>
    <t>Multi</t>
  </si>
  <si>
    <t xml:space="preserve">B) WAKALA PLACEMENTS WITH SAMA  </t>
  </si>
  <si>
    <t>Placement Reference</t>
  </si>
  <si>
    <t>Counterparty</t>
  </si>
  <si>
    <t>Placement Date</t>
  </si>
  <si>
    <t>SAMA-WKL-2025-001</t>
  </si>
  <si>
    <t>Saudi Central Bank (SAMA)</t>
  </si>
  <si>
    <t>Dec-2025</t>
  </si>
  <si>
    <t>27-Dec-2025</t>
  </si>
  <si>
    <t>5.95%</t>
  </si>
  <si>
    <t>SAMA-WKL-2025-002</t>
  </si>
  <si>
    <t>03-Jan-2026</t>
  </si>
  <si>
    <t>5.92%</t>
  </si>
  <si>
    <t>SAMA-WKL-2025-003</t>
  </si>
  <si>
    <t>05-Jan-2026</t>
  </si>
  <si>
    <t>5.90%</t>
  </si>
  <si>
    <t xml:space="preserve">C) OTHER BALANCES WITH SAMA  </t>
  </si>
  <si>
    <t>Account Description</t>
  </si>
  <si>
    <t>Account Number (Ref)</t>
  </si>
  <si>
    <t>Balance
31-Dec-2025</t>
  </si>
  <si>
    <t>Balance
31-Dec-2024</t>
  </si>
  <si>
    <t>SAMA current / settlement account</t>
  </si>
  <si>
    <t>SAMA-CA-001</t>
  </si>
  <si>
    <t>SAMA clearing account - SARIE system</t>
  </si>
  <si>
    <t>SAMA-CLR-001</t>
  </si>
  <si>
    <t>SAMA - other operational accounts</t>
  </si>
  <si>
    <t>SAMA-OPS-001</t>
  </si>
  <si>
    <t xml:space="preserve">D) STATUTORY DEPOSITS WITH SAMA  </t>
  </si>
  <si>
    <t>Description</t>
  </si>
  <si>
    <t>Basis of Calculation</t>
  </si>
  <si>
    <t>Regulatory Rate</t>
  </si>
  <si>
    <t>Reference</t>
  </si>
  <si>
    <t>Statutory deposit - Demand / call / savings deposits (7%)</t>
  </si>
  <si>
    <t>7% of demand+call+savings deposits per SAMA circular</t>
  </si>
  <si>
    <t>7%</t>
  </si>
  <si>
    <t>SAMA Banking Supervision Rules</t>
  </si>
  <si>
    <t>Statutory deposit - Time investments (4%)</t>
  </si>
  <si>
    <t>4% of time investments per SAMA circular</t>
  </si>
  <si>
    <t>4%</t>
  </si>
  <si>
    <t xml:space="preserve">Due from Banks and Other Financial Institutions </t>
  </si>
  <si>
    <t xml:space="preserve">A) CURRENT ACCOUNTS WITH BANKS  </t>
  </si>
  <si>
    <t>Bank Name</t>
  </si>
  <si>
    <t>Country</t>
  </si>
  <si>
    <t>SWIFT / IBAN</t>
  </si>
  <si>
    <t>Rating</t>
  </si>
  <si>
    <t>Saudi National Bank</t>
  </si>
  <si>
    <t>KSA</t>
  </si>
  <si>
    <t>NCBKSAJE</t>
  </si>
  <si>
    <t>Nostro account</t>
  </si>
  <si>
    <t>Al Rajhi Bank</t>
  </si>
  <si>
    <t>RJHISAJE</t>
  </si>
  <si>
    <t>Riyad Bank</t>
  </si>
  <si>
    <t>RIBLSARI</t>
  </si>
  <si>
    <t>A1</t>
  </si>
  <si>
    <t>JPMorgan Chase - London</t>
  </si>
  <si>
    <t>UK</t>
  </si>
  <si>
    <t>CHASGB2L</t>
  </si>
  <si>
    <t>Aa1</t>
  </si>
  <si>
    <t>HSBC Bank Middle East</t>
  </si>
  <si>
    <t>UAE</t>
  </si>
  <si>
    <t>BBMEAEAD</t>
  </si>
  <si>
    <t>Aa2</t>
  </si>
  <si>
    <t>Citibank NA - New York</t>
  </si>
  <si>
    <t>USA</t>
  </si>
  <si>
    <t>CITIUS33</t>
  </si>
  <si>
    <t>Deutsche Bank AG</t>
  </si>
  <si>
    <t>Germany</t>
  </si>
  <si>
    <t>DEUTDEFF</t>
  </si>
  <si>
    <t>Standard Chartered</t>
  </si>
  <si>
    <t>SCBLGB2L</t>
  </si>
  <si>
    <t>Arab National Bank</t>
  </si>
  <si>
    <t>ARNBSARI</t>
  </si>
  <si>
    <t>Banque Saudi Fransi</t>
  </si>
  <si>
    <t>BSFRSARI</t>
  </si>
  <si>
    <t xml:space="preserve">B) MONEY MARKET - COMMODITY MURABAHA  </t>
  </si>
  <si>
    <t>MM-CM-2025-001</t>
  </si>
  <si>
    <t>07-Jan-2026</t>
  </si>
  <si>
    <t>MM-CM-2025-002</t>
  </si>
  <si>
    <t>04-Jan-2026</t>
  </si>
  <si>
    <t>MM-CM-2025-003</t>
  </si>
  <si>
    <t>5.88%</t>
  </si>
  <si>
    <t>08-Jan-2026</t>
  </si>
  <si>
    <t>Arab Banking Corp - Bahrain</t>
  </si>
  <si>
    <t>Bahrain</t>
  </si>
  <si>
    <t>MM-CM-2025-004</t>
  </si>
  <si>
    <t>5.35%</t>
  </si>
  <si>
    <t>MM-CM-2025-005</t>
  </si>
  <si>
    <t>5.40%</t>
  </si>
  <si>
    <t>10-Jan-2026</t>
  </si>
  <si>
    <t>Kuwait Finance House</t>
  </si>
  <si>
    <t>Kuwait</t>
  </si>
  <si>
    <t>MM-CM-2025-006</t>
  </si>
  <si>
    <t>KWD</t>
  </si>
  <si>
    <t>4.80%</t>
  </si>
  <si>
    <t>15-Jan-2026</t>
  </si>
  <si>
    <t>Emirates NBD</t>
  </si>
  <si>
    <t>MM-CM-2025-007</t>
  </si>
  <si>
    <t>AED</t>
  </si>
  <si>
    <t>4.65%</t>
  </si>
  <si>
    <t>12-Jan-2026</t>
  </si>
  <si>
    <t>JPMorgan Chase</t>
  </si>
  <si>
    <t>MM-CM-2025-008</t>
  </si>
  <si>
    <t>5.45%</t>
  </si>
  <si>
    <t>Citibank NA</t>
  </si>
  <si>
    <t>MM-CM-2025-009</t>
  </si>
  <si>
    <t>5.50%</t>
  </si>
  <si>
    <t>06-Jan-2026</t>
  </si>
  <si>
    <t xml:space="preserve">C) MONEY MARKET - WAKALA  </t>
  </si>
  <si>
    <t>Saudi Investment Bank</t>
  </si>
  <si>
    <t>WKL-2025-001</t>
  </si>
  <si>
    <t>02-Jan-2026</t>
  </si>
  <si>
    <t>WKL-2025-002</t>
  </si>
  <si>
    <t>5.93%</t>
  </si>
  <si>
    <t>Alinma Bank</t>
  </si>
  <si>
    <t>WKL-2025-003</t>
  </si>
  <si>
    <t>5.91%</t>
  </si>
  <si>
    <t>WKL-2025-004</t>
  </si>
  <si>
    <t xml:space="preserve">D) ECL ALLOWANCE </t>
  </si>
  <si>
    <t>Item</t>
  </si>
  <si>
    <t>31-Dec-2025</t>
  </si>
  <si>
    <t>31-Dec-2024</t>
  </si>
  <si>
    <t>Allowance for impairment (Stage 1 ECL)</t>
  </si>
  <si>
    <t xml:space="preserve">Draft Other Assets Sub-ledger </t>
  </si>
  <si>
    <t xml:space="preserve">A) ADVANCES, PREPAYMENTS &amp; OTHER RECEIVABLES  </t>
  </si>
  <si>
    <t>Item Description</t>
  </si>
  <si>
    <t>GL Account</t>
  </si>
  <si>
    <t>Accrued income receivable - financing</t>
  </si>
  <si>
    <t>GL-3001</t>
  </si>
  <si>
    <t>Interest/profit accrued on performing loans</t>
  </si>
  <si>
    <t>Accrued income receivable - investments (FVOCI/AC)</t>
  </si>
  <si>
    <t>GL-3002</t>
  </si>
  <si>
    <t>Coupon/profit accrued on Sukuk</t>
  </si>
  <si>
    <t>Prepaid expenses - insurance</t>
  </si>
  <si>
    <t>GL-3010</t>
  </si>
  <si>
    <t>Annual insurance premia prepaid</t>
  </si>
  <si>
    <t>Prepaid expenses - IT licences &amp; maintenance</t>
  </si>
  <si>
    <t>GL-3011</t>
  </si>
  <si>
    <t>Software licence renewal prepayments</t>
  </si>
  <si>
    <t>Prepaid expenses - rent (operating leases)</t>
  </si>
  <si>
    <t>GL-3012</t>
  </si>
  <si>
    <t>Short-term lease prepayments</t>
  </si>
  <si>
    <t>Staff advances</t>
  </si>
  <si>
    <t>GL-3020</t>
  </si>
  <si>
    <t>Interest-free staff salary advances</t>
  </si>
  <si>
    <t>Supplier advances and deposits</t>
  </si>
  <si>
    <t>GL-3030</t>
  </si>
  <si>
    <t>Advance payments to IT/construction contractors</t>
  </si>
  <si>
    <t>Receivable from AlJazira Takaful Ta'awuni Co.</t>
  </si>
  <si>
    <t>GL-3040</t>
  </si>
  <si>
    <t>Management fee receivable from associate</t>
  </si>
  <si>
    <t xml:space="preserve">B) MARGIN DEPOSITS AGAINST FINANCIAL INSTRUMENTS  </t>
  </si>
  <si>
    <t>Initial margin - profit rate swap (cash flow hedge)</t>
  </si>
  <si>
    <t>Saudi National Bank (clearing)</t>
  </si>
  <si>
    <t>ISDA/IFMA margin</t>
  </si>
  <si>
    <t>Variation margin - profit rate swap</t>
  </si>
  <si>
    <t>Mark-to-market settlement</t>
  </si>
  <si>
    <t>Initial margin - cross-currency swap</t>
  </si>
  <si>
    <t>Derivative margin account</t>
  </si>
  <si>
    <t xml:space="preserve">C) VAT AND TAX RELATED RECEIVABLES  </t>
  </si>
  <si>
    <t>Input VAT recoverable - general expenses</t>
  </si>
  <si>
    <t>GL-3101</t>
  </si>
  <si>
    <t>VAT on bank's own operating costs @ 15%</t>
  </si>
  <si>
    <t>Input VAT recoverable - capital expenditure</t>
  </si>
  <si>
    <t>GL-3102</t>
  </si>
  <si>
    <t>VAT on PP&amp;E/CWIP acquisitions</t>
  </si>
  <si>
    <t>Withholding tax receivable - foreign income</t>
  </si>
  <si>
    <t>GL-3103</t>
  </si>
  <si>
    <t>WHT on foreign investment income</t>
  </si>
  <si>
    <t xml:space="preserve">D) OTHERS  |  </t>
  </si>
  <si>
    <t>Cheques under collection (clearing)</t>
  </si>
  <si>
    <t>GL-3200</t>
  </si>
  <si>
    <t>Inter-branch cheque clearing float</t>
  </si>
  <si>
    <t>SARIE / RTGS settlement receivable</t>
  </si>
  <si>
    <t>GL-3201</t>
  </si>
  <si>
    <t>End-of-day payment system settlement</t>
  </si>
  <si>
    <t>Receivable from VISA / MasterCard (card settlements)</t>
  </si>
  <si>
    <t>GL-3210</t>
  </si>
  <si>
    <t>Card interchange receivable</t>
  </si>
  <si>
    <t>Sundry receivables - trade finance</t>
  </si>
  <si>
    <t>GL-3220</t>
  </si>
  <si>
    <t>LC reimbursement claims outstanding</t>
  </si>
  <si>
    <t>Other miscellaneous receivables</t>
  </si>
  <si>
    <t>GL-3299</t>
  </si>
  <si>
    <t>Various small-balance receivables</t>
  </si>
  <si>
    <t xml:space="preserve">Draft - Investment in Associate </t>
  </si>
  <si>
    <t xml:space="preserve">A) ASSOCIATE DETAILS </t>
  </si>
  <si>
    <t>Field</t>
  </si>
  <si>
    <t>Details</t>
  </si>
  <si>
    <t>Associate name</t>
  </si>
  <si>
    <t>AlJazira Takaful Ta'awuni Company</t>
  </si>
  <si>
    <t>Nature of business</t>
  </si>
  <si>
    <t>Takaful (Islamic insurance) products and services</t>
  </si>
  <si>
    <t>Principal place of business</t>
  </si>
  <si>
    <t>Kingdom of Saudi Arabia</t>
  </si>
  <si>
    <t>Percentage of ownership (voting rights)</t>
  </si>
  <si>
    <t>33.08% (unchanged from 2024)</t>
  </si>
  <si>
    <t>Basis of influence</t>
  </si>
  <si>
    <t>Significant influence through board representation and 33.08% equity stake</t>
  </si>
  <si>
    <t>Year of establishment</t>
  </si>
  <si>
    <t>2007</t>
  </si>
  <si>
    <t>Listed / Unlisted</t>
  </si>
  <si>
    <t>Listed on Tadawul Stock Exchange (TASI)</t>
  </si>
  <si>
    <t>Stock ticker</t>
  </si>
  <si>
    <t>SAJCO / 8060</t>
  </si>
  <si>
    <t>Latest available audited financial statements used</t>
  </si>
  <si>
    <t>31 December 2025</t>
  </si>
  <si>
    <t>Reporting date of associate</t>
  </si>
  <si>
    <t>31 December (same as Bank)</t>
  </si>
  <si>
    <t>Accounting policy for associate</t>
  </si>
  <si>
    <t>Equity method - IFRS 16 / IFRS 9 / IFRS 17 applied by associate</t>
  </si>
  <si>
    <t>B) EQUITY METHOD ROLL-FORWARD (Note 9)</t>
  </si>
  <si>
    <t>Movement Line</t>
  </si>
  <si>
    <t>Carrying value at 1 January</t>
  </si>
  <si>
    <t>Share in net income of associate for the year</t>
  </si>
  <si>
    <t>Share in OCI of associate (net)</t>
  </si>
  <si>
    <t>Dividend received from associate (Note 17)</t>
  </si>
  <si>
    <t>C) ASSOCIATE FINANCIAL SUMMARY (Bank's 33.08% SHARE) - for disclosure in Note 9</t>
  </si>
  <si>
    <t>Bank's 33.08% Share
31-Dec-2025</t>
  </si>
  <si>
    <t>Bank's 33.08% Share
31-Dec-2024</t>
  </si>
  <si>
    <t>Total assets (Bank's share)</t>
  </si>
  <si>
    <t>Total liabilities (Bank's share)</t>
  </si>
  <si>
    <t>Net assets / equity (Bank's share)</t>
  </si>
  <si>
    <t>Revenue (Bank's share)</t>
  </si>
  <si>
    <t>Net income (Bank's share)</t>
  </si>
  <si>
    <t>D) FAIR VALUE CHECK (listed associate - Tadawul price at reporting date)</t>
  </si>
  <si>
    <t>Shares held by Bank (number)</t>
  </si>
  <si>
    <t>33.08% of total shares outstanding</t>
  </si>
  <si>
    <t>Market price per share - Tadawul (SAR)</t>
  </si>
  <si>
    <t>Closing price on last trading day</t>
  </si>
  <si>
    <t>Fair value of investment (SAR '000)</t>
  </si>
  <si>
    <t>Market-based reference - not carrying value</t>
  </si>
  <si>
    <t>Carrying value (equity method)</t>
  </si>
  <si>
    <t>Note 11</t>
  </si>
  <si>
    <t xml:space="preserve">A) PROFIT RATE SWAPS - HELD FOR TRADING  </t>
  </si>
  <si>
    <t>Trade Ref</t>
  </si>
  <si>
    <t>Purpose</t>
  </si>
  <si>
    <t>Notional
SAR '000</t>
  </si>
  <si>
    <t>Pay Rate
(Bank pays)</t>
  </si>
  <si>
    <t>Receive Rate
(Bank receives)</t>
  </si>
  <si>
    <t>Start Date</t>
  </si>
  <si>
    <t>Positive FV
31-Dec-2025</t>
  </si>
  <si>
    <t>Negative FV
31-Dec-2025</t>
  </si>
  <si>
    <t>PRS-HFT-001</t>
  </si>
  <si>
    <t>Customer back-to-back hedge</t>
  </si>
  <si>
    <t>5.95% fixed</t>
  </si>
  <si>
    <t>SAIBOR+0.25%</t>
  </si>
  <si>
    <t>15-Jan-2024</t>
  </si>
  <si>
    <t>15-Jan-2027</t>
  </si>
  <si>
    <t>PRS-HFT-002</t>
  </si>
  <si>
    <t>Proprietary - rate view</t>
  </si>
  <si>
    <t>SAIBOR+0.15%</t>
  </si>
  <si>
    <t>5.80% fixed</t>
  </si>
  <si>
    <t>20-Mar-2024</t>
  </si>
  <si>
    <t>20-Mar-2026</t>
  </si>
  <si>
    <t>PRS-HFT-003</t>
  </si>
  <si>
    <t>5.75% fixed</t>
  </si>
  <si>
    <t>SAIBOR+0.20%</t>
  </si>
  <si>
    <t>10-Jun-2024</t>
  </si>
  <si>
    <t>10-Jun-2027</t>
  </si>
  <si>
    <t>PRS-HFT-004</t>
  </si>
  <si>
    <t>SAIBOR+0.10%</t>
  </si>
  <si>
    <t>5.70% fixed</t>
  </si>
  <si>
    <t>01-Sep-2024</t>
  </si>
  <si>
    <t>01-Sep-2026</t>
  </si>
  <si>
    <t>PRS-HFT-005</t>
  </si>
  <si>
    <t>5.85% fixed</t>
  </si>
  <si>
    <t>SAIBOR+0.30%</t>
  </si>
  <si>
    <t>15-Nov-2024</t>
  </si>
  <si>
    <t>15-Nov-2027</t>
  </si>
  <si>
    <t>PRS-HFT-006</t>
  </si>
  <si>
    <t>HSBC Bank ME</t>
  </si>
  <si>
    <t>Proprietary - cross-currency</t>
  </si>
  <si>
    <t>4.90% fixed (USD)</t>
  </si>
  <si>
    <t>SAIBOR+0.45%</t>
  </si>
  <si>
    <t>01-Dec-2024</t>
  </si>
  <si>
    <t>01-Dec-2026</t>
  </si>
  <si>
    <t>PRS-HFT-007</t>
  </si>
  <si>
    <t>5.92% fixed</t>
  </si>
  <si>
    <t>SAIBOR+0.22%</t>
  </si>
  <si>
    <t>20-Dec-2024</t>
  </si>
  <si>
    <t>20-Dec-2026</t>
  </si>
  <si>
    <t>PRS-HFT-008</t>
  </si>
  <si>
    <t>Proprietary</t>
  </si>
  <si>
    <t>SAIBOR+0.18%</t>
  </si>
  <si>
    <t>5.65% fixed</t>
  </si>
  <si>
    <t>10-Dec-2024</t>
  </si>
  <si>
    <t>10-Dec-2025</t>
  </si>
  <si>
    <t>PRS-HFT-009</t>
  </si>
  <si>
    <t>Customer back-to-back</t>
  </si>
  <si>
    <t>5.78% fixed</t>
  </si>
  <si>
    <t>SAIBOR+0.28%</t>
  </si>
  <si>
    <t>05-Dec-2024</t>
  </si>
  <si>
    <t>05-Dec-2027</t>
  </si>
  <si>
    <t>PRS-HFT-010</t>
  </si>
  <si>
    <t>Deutsche Bank</t>
  </si>
  <si>
    <t>SAIBOR+0.12%</t>
  </si>
  <si>
    <t>5.72% fixed</t>
  </si>
  <si>
    <t>03-Dec-2024</t>
  </si>
  <si>
    <t>03-Dec-2026</t>
  </si>
  <si>
    <t xml:space="preserve">B) PROFIT RATE SWAPS - CASH FLOW HEDGES  </t>
  </si>
  <si>
    <t>Hedged Item</t>
  </si>
  <si>
    <t>Bank Pays
(fixed)</t>
  </si>
  <si>
    <t>Bank Receives
(floating)</t>
  </si>
  <si>
    <t>PRS-CFH-001</t>
  </si>
  <si>
    <t>Floating rate customer deposits (SAR 3.0bn)</t>
  </si>
  <si>
    <t>01-Jul-2023</t>
  </si>
  <si>
    <t>01-Jul-2026</t>
  </si>
  <si>
    <t>PRS-CFH-002</t>
  </si>
  <si>
    <t>Floating rate customer deposits (SAR 2.0bn)</t>
  </si>
  <si>
    <t>15-Oct-2023</t>
  </si>
  <si>
    <t>15-Oct-2026</t>
  </si>
  <si>
    <t>PRS-CFH-003</t>
  </si>
  <si>
    <t>Floating rate Sukuk investment (SAR 1.5bn)</t>
  </si>
  <si>
    <t>01-Jan-2024</t>
  </si>
  <si>
    <t>01-Jan-2027</t>
  </si>
  <si>
    <t>PRS-CFH-004</t>
  </si>
  <si>
    <t>Floating rate customer deposits (SAR 1.2bn)</t>
  </si>
  <si>
    <t>01-Mar-2024</t>
  </si>
  <si>
    <t>01-Mar-2027</t>
  </si>
  <si>
    <t>PRS-CFH-005</t>
  </si>
  <si>
    <t>Floating rate Sukuk investment (SAR 1.0bn)</t>
  </si>
  <si>
    <t>01-Jun-2024</t>
  </si>
  <si>
    <t>01-Jun-2028</t>
  </si>
  <si>
    <t>PRS-CFH-006</t>
  </si>
  <si>
    <t>Floating rate customer deposits (SAR 0.8bn)</t>
  </si>
  <si>
    <t>5.68% fixed</t>
  </si>
  <si>
    <t>SAIBOR+0.08%</t>
  </si>
  <si>
    <t>01-Sep-2027</t>
  </si>
  <si>
    <t xml:space="preserve">Draft Due to Banks, SAMA and Other Financial Institutions </t>
  </si>
  <si>
    <t xml:space="preserve">A) CURRENT ACCOUNTS (VOSTRO) </t>
  </si>
  <si>
    <t>Type</t>
  </si>
  <si>
    <t>Vostro</t>
  </si>
  <si>
    <t>Correspondent clearing account</t>
  </si>
  <si>
    <t>USD clearing account</t>
  </si>
  <si>
    <t>HSBC Bank - London</t>
  </si>
  <si>
    <t>GBP</t>
  </si>
  <si>
    <t>GBP settlement</t>
  </si>
  <si>
    <t>EUR settlement</t>
  </si>
  <si>
    <t>BNP Paribas</t>
  </si>
  <si>
    <t>France</t>
  </si>
  <si>
    <t>Trade finance settlement</t>
  </si>
  <si>
    <t>Singapore</t>
  </si>
  <si>
    <t>SGD</t>
  </si>
  <si>
    <t>Asia corridor</t>
  </si>
  <si>
    <t>SAMA Interbank</t>
  </si>
  <si>
    <t>SAR settlement</t>
  </si>
  <si>
    <t>Interbank SAR</t>
  </si>
  <si>
    <t>Others (16 correspondent banks)</t>
  </si>
  <si>
    <t>Aggregated small balances</t>
  </si>
  <si>
    <t>B) MONEY MARKET DEPOSITS  |  Control: 17,932,704 (2025) / 8,440,523 (2024)</t>
  </si>
  <si>
    <t>SAMA - FRRP (Fixed Rate Repo Program)</t>
  </si>
  <si>
    <t>6.00%</t>
  </si>
  <si>
    <t>5.87%</t>
  </si>
  <si>
    <t>5.85%</t>
  </si>
  <si>
    <t>5.83%</t>
  </si>
  <si>
    <t>5.81%</t>
  </si>
  <si>
    <t>09-Jan-2026</t>
  </si>
  <si>
    <t>Gulf International Bank - Bahrain</t>
  </si>
  <si>
    <t>Arab Banking Corporation</t>
  </si>
  <si>
    <t>5.42%</t>
  </si>
  <si>
    <t>First Abu Dhabi Bank</t>
  </si>
  <si>
    <t>5.20%</t>
  </si>
  <si>
    <t>11-Jan-2026</t>
  </si>
  <si>
    <t>4.75%</t>
  </si>
  <si>
    <t>Qatar National Bank</t>
  </si>
  <si>
    <t>Qatar</t>
  </si>
  <si>
    <t>QAR</t>
  </si>
  <si>
    <t>5.30%</t>
  </si>
  <si>
    <t>14-Jan-2026</t>
  </si>
  <si>
    <t>C) REPURCHASE AGREEMENT (REPO) BORROWINGS  |  Control: 5,639,449 (2025) / 10,572,707 (2024)</t>
  </si>
  <si>
    <t>Collateral Description</t>
  </si>
  <si>
    <t>Repo Rate</t>
  </si>
  <si>
    <t>SAMA - SRR (Securities Repo Program)</t>
  </si>
  <si>
    <t>Saudi Government Sukuks pledged</t>
  </si>
  <si>
    <t>Corporate Sukuks pledged</t>
  </si>
  <si>
    <t>NOTE 12 GRAND TOTAL</t>
  </si>
  <si>
    <t>Current accounts (Vostro)</t>
  </si>
  <si>
    <t>Draft - Customer Deposits Sub-ledger (Note 13)</t>
  </si>
  <si>
    <t>A) CUSTOMER DEPOSITS BY PRODUCT TYPE (Note 13)  |  Total: 115,395,315 (2025) / 108,186,514 (2024)</t>
  </si>
  <si>
    <t>Product Type</t>
  </si>
  <si>
    <t>Sub-Type</t>
  </si>
  <si>
    <t>Profit Bearing?</t>
  </si>
  <si>
    <t>Demand deposits</t>
  </si>
  <si>
    <t>Retail - current accounts</t>
  </si>
  <si>
    <t>No</t>
  </si>
  <si>
    <t>Non-profit bearing, payable on demand</t>
  </si>
  <si>
    <t>Corporate - current accounts</t>
  </si>
  <si>
    <t>Retail savings accounts</t>
  </si>
  <si>
    <t>Yes</t>
  </si>
  <si>
    <t>Variable profit rate, SAIBOR-linked</t>
  </si>
  <si>
    <t>Corporate call deposits</t>
  </si>
  <si>
    <t>Retail - 3-month tenors</t>
  </si>
  <si>
    <t>Fixed profit rate, rolled monthly</t>
  </si>
  <si>
    <t>Retail - 6-month tenors</t>
  </si>
  <si>
    <t>Fixed profit rate</t>
  </si>
  <si>
    <t>Retail - 12-month tenors</t>
  </si>
  <si>
    <t>Retail - &gt;12-month tenors</t>
  </si>
  <si>
    <t>Corporate - 3-month tenors</t>
  </si>
  <si>
    <t>Negotiated profit rates</t>
  </si>
  <si>
    <t>Corporate - 6-month tenors</t>
  </si>
  <si>
    <t>Corporate - 12-month tenors</t>
  </si>
  <si>
    <t>Corporate - &gt;12-month tenors</t>
  </si>
  <si>
    <t>Other deposits</t>
  </si>
  <si>
    <t>Escrow accounts</t>
  </si>
  <si>
    <t>Third party escrow and blocked funds</t>
  </si>
  <si>
    <t>Restricted deposits - collateral</t>
  </si>
  <si>
    <t>Pledged against financing/guarantees</t>
  </si>
  <si>
    <t>Government ministries - demand</t>
  </si>
  <si>
    <t>Central and local government bodies</t>
  </si>
  <si>
    <t>Other miscellaneous</t>
  </si>
  <si>
    <t>Payroll accounts, staff accounts etc.</t>
  </si>
  <si>
    <t>B) CUSTOMER DEPOSITS BY CUSTOMER SEGMENT (Note 13 supplemental analysis)</t>
  </si>
  <si>
    <t>Customer Segment</t>
  </si>
  <si>
    <t>% of Total 2025</t>
  </si>
  <si>
    <t>Personal Banking (Retail)</t>
  </si>
  <si>
    <t>Corporate Banking</t>
  </si>
  <si>
    <t>Government and quasi-Government</t>
  </si>
  <si>
    <t>C) CUSTOMER DEPOSITS BY RESIDUAL MATURITY - 31 DECEMBER 2025</t>
  </si>
  <si>
    <t>Maturity Bucket</t>
  </si>
  <si>
    <t>Demand
2025</t>
  </si>
  <si>
    <t>Savings &amp; Call
2025</t>
  </si>
  <si>
    <t>Time Investments
2025</t>
  </si>
  <si>
    <t>Other
2025</t>
  </si>
  <si>
    <t>Up to 3 months</t>
  </si>
  <si>
    <t>3 to 6 months</t>
  </si>
  <si>
    <t>6 to 12 months</t>
  </si>
  <si>
    <t>Over 12 months</t>
  </si>
  <si>
    <t>Draft Sukuk Issuances &amp; Equity Instruments (Notes 14, 16, 17, 18, 19)</t>
  </si>
  <si>
    <t>Figures in SAR '000 | Issuance-level terms and movement schedules</t>
  </si>
  <si>
    <t>A) SUBORDINATED SUKUK (Note 14)  |  Control: 2,007,489 (2025) / 2,005,918 (2024)</t>
  </si>
  <si>
    <t>Detail</t>
  </si>
  <si>
    <t>Instrument name</t>
  </si>
  <si>
    <t>SAR 2 Billion Tier 2 Subordinated Sukuk Programme</t>
  </si>
  <si>
    <t>ISIN</t>
  </si>
  <si>
    <t>SA17J0B5JS01</t>
  </si>
  <si>
    <t>Issue date</t>
  </si>
  <si>
    <t>23 March 2021</t>
  </si>
  <si>
    <t>Maturity date</t>
  </si>
  <si>
    <t>23 March 2031 (10 years)</t>
  </si>
  <si>
    <t>Nominal value (SAR '000)</t>
  </si>
  <si>
    <t>2,000,000</t>
  </si>
  <si>
    <t>Issue price</t>
  </si>
  <si>
    <t>At par (100%)</t>
  </si>
  <si>
    <t>Profit rate - Years 1-5</t>
  </si>
  <si>
    <t>5.25% per annum (fixed), paid semi-annually</t>
  </si>
  <si>
    <t>Profit rate - Years 6-10 (reset date 23 March 2026)</t>
  </si>
  <si>
    <t>SAIBOR + 1.50% step-up</t>
  </si>
  <si>
    <t>Call option</t>
  </si>
  <si>
    <t>Callable at par on 23 March 2026 (5-year call date), subject to SAMA approval</t>
  </si>
  <si>
    <t>Regulatory treatment</t>
  </si>
  <si>
    <t>Tier 2 Capital under Basel III / SAMA CAR Rules</t>
  </si>
  <si>
    <t>Listed on</t>
  </si>
  <si>
    <t>Saudi Stock Exchange (Tadawul) - wholesale market</t>
  </si>
  <si>
    <t>Purpose of issuance</t>
  </si>
  <si>
    <t>Strengthening Tier 2 capital base</t>
  </si>
  <si>
    <t>Nominal value</t>
  </si>
  <si>
    <t>Unamortised issue costs b/f</t>
  </si>
  <si>
    <t>Amortisation of issue costs for the year (P&amp;L: Note 21)</t>
  </si>
  <si>
    <t>Unamortised issue costs c/f (EIR adjustment)</t>
  </si>
  <si>
    <t>Accrued profit payable (semi-annual coupon)</t>
  </si>
  <si>
    <t>B) SHARE CAPITAL &amp; TREASURY SHARES (Note 16)  |  Control: 12,812,500 (2025) / 10,250,000 (2024)</t>
  </si>
  <si>
    <t>Field / Movement Line</t>
  </si>
  <si>
    <t>Authorised shares (number)</t>
  </si>
  <si>
    <t>Issued &amp; fully paid shares - opening (number)</t>
  </si>
  <si>
    <t>Bonus shares issued during 2025 (25% bonus issue)</t>
  </si>
  <si>
    <t>Issued &amp; fully paid shares - closing (number)</t>
  </si>
  <si>
    <t>Par value per share (SAR)</t>
  </si>
  <si>
    <t>Gross share capital (SAR '000)</t>
  </si>
  <si>
    <t>Treasury shares held - opening (number)</t>
  </si>
  <si>
    <t>Treasury shares purchased during 2025 (ESOP)</t>
  </si>
  <si>
    <t>Treasury shares - closing (number)</t>
  </si>
  <si>
    <t>Treasury shares at cost (SAR '000) - Note 16(b)</t>
  </si>
  <si>
    <t>C) DIVIDENDS DECLARED / PAID (Note 17)  |  Dividend payable in Other Liabilities: 48,282 (2025) / 62,934 (2024)</t>
  </si>
  <si>
    <t>Final dividend for FY2024 (declared March 2025, pre-bonus issue adjustment)</t>
  </si>
  <si>
    <t>Final dividend for FY2023 (declared March 2024)</t>
  </si>
  <si>
    <t>Dividend per share (pre-bonus adjustment) - SAR</t>
  </si>
  <si>
    <t>Dividend per share (post-bonus adj. - for comparability) - SAR</t>
  </si>
  <si>
    <t>Dividend from associate - AlJazira Takaful Ta'awuni (Note 9)</t>
  </si>
  <si>
    <t>Dividend payable at period end (accrued but unpaid)</t>
  </si>
  <si>
    <t xml:space="preserve">D) OTHER RESERVES MOVEMENT (Note 18)  </t>
  </si>
  <si>
    <t>Reserve Component</t>
  </si>
  <si>
    <t>Opening Balance
1-Jan-2025</t>
  </si>
  <si>
    <t>Movement during 2025
(per OCI)</t>
  </si>
  <si>
    <t>Closing Balance
31-Dec-2025</t>
  </si>
  <si>
    <t>Opening Balance
1-Jan-2024</t>
  </si>
  <si>
    <t>Movement during 2024</t>
  </si>
  <si>
    <t>Closing Balance
31-Dec-2024</t>
  </si>
  <si>
    <t>Share in OCI of associate</t>
  </si>
  <si>
    <t>E) TIER 1 SUKUK (Note 19)  |  Control: 6,750,000 (2025) / 3,875,000 (2024)</t>
  </si>
  <si>
    <t>Tranche</t>
  </si>
  <si>
    <t>Amount
SAR '000</t>
  </si>
  <si>
    <t>Issue Date</t>
  </si>
  <si>
    <t>First Call Date</t>
  </si>
  <si>
    <t>Regulatory Treatment</t>
  </si>
  <si>
    <t>Tier 1 Sukuk - Tranche 1 (original)</t>
  </si>
  <si>
    <t>Apr-2017</t>
  </si>
  <si>
    <t>4.00% p.a.</t>
  </si>
  <si>
    <t>Apr-2022 (called &amp; reissued)</t>
  </si>
  <si>
    <t>Additional Tier 1 Capital</t>
  </si>
  <si>
    <t>SA14J0B1KH01</t>
  </si>
  <si>
    <t>Tier 1 Sukuk - Tranche 2 (reissued 2022)</t>
  </si>
  <si>
    <t>Nov-2022</t>
  </si>
  <si>
    <t>7.50% p.a.</t>
  </si>
  <si>
    <t>Nov-2027</t>
  </si>
  <si>
    <t>SA14J0B2JT01</t>
  </si>
  <si>
    <t>Tier 1 Sukuk - Tranche 3 (2024 issuance)</t>
  </si>
  <si>
    <t>Mar-2024</t>
  </si>
  <si>
    <t>6.75% p.a.</t>
  </si>
  <si>
    <t>Mar-2029</t>
  </si>
  <si>
    <t>SA14J0B4LM01</t>
  </si>
  <si>
    <t>Tier 1 Sukuk - Tranche 4 (2025 issuance - new)</t>
  </si>
  <si>
    <t>Jun-2025</t>
  </si>
  <si>
    <t>6.25% p.a.</t>
  </si>
  <si>
    <t>Jun-2030</t>
  </si>
  <si>
    <t>SA14J0B5MN01</t>
  </si>
  <si>
    <t>Tier 1 Sukuk - Tranche 5 (2025 issuance - new)</t>
  </si>
  <si>
    <t>Sep-2025</t>
  </si>
  <si>
    <t>6.10% p.a.</t>
  </si>
  <si>
    <t>Sep-2030</t>
  </si>
  <si>
    <t>SA14J0B5PQ01</t>
  </si>
  <si>
    <t>Draft Other Liabilities Sub-ledger (Note 15)</t>
  </si>
  <si>
    <t>Figures in SAR '000 | Line-item creditor and accrual register tying to Note 15 disclosure</t>
  </si>
  <si>
    <t>A) ACCOUNTS PAYABLE (CREDITORS)  |  Control: 882,890 (2025) / 678,982 (2024)</t>
  </si>
  <si>
    <t>Supplier / Description</t>
  </si>
  <si>
    <t>Nature</t>
  </si>
  <si>
    <t>Due Date</t>
  </si>
  <si>
    <t>IT vendors - software licences payable</t>
  </si>
  <si>
    <t>AP-1001</t>
  </si>
  <si>
    <t>Trade payable - IT</t>
  </si>
  <si>
    <t>Jan-2026</t>
  </si>
  <si>
    <t>Construction contractors - branch fit-out</t>
  </si>
  <si>
    <t>AP-1002</t>
  </si>
  <si>
    <t>Trade payable - CWIP</t>
  </si>
  <si>
    <t>Varies</t>
  </si>
  <si>
    <t>Card network fees payable (VISA/MC)</t>
  </si>
  <si>
    <t>AP-1003</t>
  </si>
  <si>
    <t>Card network settlement</t>
  </si>
  <si>
    <t>Outsourced services - ATM management</t>
  </si>
  <si>
    <t>AP-1004</t>
  </si>
  <si>
    <t>Operational service</t>
  </si>
  <si>
    <t>Professional services (audit, legal, advisory)</t>
  </si>
  <si>
    <t>AP-1005</t>
  </si>
  <si>
    <t>Professional fees</t>
  </si>
  <si>
    <t>Insurance premium payable</t>
  </si>
  <si>
    <t>AP-1006</t>
  </si>
  <si>
    <t>Insurance</t>
  </si>
  <si>
    <t>Marketing and advertising payable</t>
  </si>
  <si>
    <t>AP-1007</t>
  </si>
  <si>
    <t>Marketing</t>
  </si>
  <si>
    <t>Utility providers - electricity/communications</t>
  </si>
  <si>
    <t>AP-1008</t>
  </si>
  <si>
    <t>Utility</t>
  </si>
  <si>
    <t>Maintenance and repair contractors</t>
  </si>
  <si>
    <t>AP-1009</t>
  </si>
  <si>
    <t>Facilities</t>
  </si>
  <si>
    <t>Office supplies and stationery</t>
  </si>
  <si>
    <t>AP-1010</t>
  </si>
  <si>
    <t>General</t>
  </si>
  <si>
    <t>Training and development providers</t>
  </si>
  <si>
    <t>AP-1011</t>
  </si>
  <si>
    <t>HR</t>
  </si>
  <si>
    <t>Other trade payables (aggregated)</t>
  </si>
  <si>
    <t>AP-1099</t>
  </si>
  <si>
    <t>SUBTOTAL - ACCOUNTS PAYABLE</t>
  </si>
  <si>
    <t>AUDITED FS FIGURE (Note 15)</t>
  </si>
  <si>
    <t>B) EMPLOYEE BENEFIT OBLIGATIONS (see also Note 30 census) | Control: 340,436 (2025) / 309,433 (2024)</t>
  </si>
  <si>
    <t>Component</t>
  </si>
  <si>
    <t>End of service benefit (EOSB) obligation - DBO</t>
  </si>
  <si>
    <t>Accrued leave liability</t>
  </si>
  <si>
    <t>Bonus accrual (short-term incentive)</t>
  </si>
  <si>
    <t>Medical insurance liability (IFRS 17)</t>
  </si>
  <si>
    <t>SUBTOTAL - EMPLOYEE BENEFITS</t>
  </si>
  <si>
    <t>AUDITED FS FIGURE (Note 15 + Note 30)</t>
  </si>
  <si>
    <t>C) LEASE LIABILITY (Note 15a) | Control: 203,537 (2025) / 177,821 (2024)</t>
  </si>
  <si>
    <t>Maturity Profile</t>
  </si>
  <si>
    <t>Lease liability - current portion (&lt; 1 year)</t>
  </si>
  <si>
    <t>&lt; 12 months</t>
  </si>
  <si>
    <t>Lease liability - non-current (1-5 years)</t>
  </si>
  <si>
    <t>12-60 months</t>
  </si>
  <si>
    <t>Lease liability - non-current (&gt; 5 years)</t>
  </si>
  <si>
    <t>&gt; 60 months</t>
  </si>
  <si>
    <t>TOTAL LEASE LIABILITY</t>
  </si>
  <si>
    <t>AUDITED FS FIGURE (Note 15a)</t>
  </si>
  <si>
    <t>D) LOSS ALLOWANCE FOR CREDIT-RELATED COMMITMENTS | Control: 323,358 (2025) / 351,252 (2024)</t>
  </si>
  <si>
    <t>Facility Type</t>
  </si>
  <si>
    <t>ECL Allowance
31-Dec-2025</t>
  </si>
  <si>
    <t>ECL Allowance
31-Dec-2024</t>
  </si>
  <si>
    <t>Stage</t>
  </si>
  <si>
    <t>Letters of credit - Stage 1</t>
  </si>
  <si>
    <t>Letters of guarantee - Stage 1</t>
  </si>
  <si>
    <t>Acceptances - Stage 1</t>
  </si>
  <si>
    <t>Irrevocable commitments - Stage 1</t>
  </si>
  <si>
    <t>Non-funded facilities - Stage 2</t>
  </si>
  <si>
    <t>Stage 2</t>
  </si>
  <si>
    <t>SUBTOTAL</t>
  </si>
  <si>
    <t>AUDITED FS FIGURE (Note 15/20c)</t>
  </si>
  <si>
    <t>E) OTHER LIABILITIES - REMAINING COMPONENTS</t>
  </si>
  <si>
    <t>Dividend payable (declared FY2024 final)</t>
  </si>
  <si>
    <t>GL-5010</t>
  </si>
  <si>
    <t>AlJazira Philanthropic Program (Zakat CSR)</t>
  </si>
  <si>
    <t>GL-5020</t>
  </si>
  <si>
    <t>Advance fees and deferred income</t>
  </si>
  <si>
    <t>GL-5030</t>
  </si>
  <si>
    <t>Withholding tax payable (on payments to suppliers)</t>
  </si>
  <si>
    <t>GL-5040</t>
  </si>
  <si>
    <t>GOSI (social insurance) payable</t>
  </si>
  <si>
    <t>GL-5050</t>
  </si>
  <si>
    <t>Provision for customer claims/complaints</t>
  </si>
  <si>
    <t>GL-5060</t>
  </si>
  <si>
    <t>Card interchange payable (VISA/MC)</t>
  </si>
  <si>
    <t>GL-5070</t>
  </si>
  <si>
    <t>SARIE / payment system settlement payable</t>
  </si>
  <si>
    <t>GL-5080</t>
  </si>
  <si>
    <t>Advance payments from customers - trade</t>
  </si>
  <si>
    <t>GL-5090</t>
  </si>
  <si>
    <t>Other sundry creditors</t>
  </si>
  <si>
    <t>GL-5099</t>
  </si>
  <si>
    <t>Draft Commitments and Contingencies Register (Note 20)</t>
  </si>
  <si>
    <t>A) LETTERS OF CREDIT (LC)  |  Note 20 control: see Total C&amp;C check at end</t>
  </si>
  <si>
    <t>Beneficiary Country</t>
  </si>
  <si>
    <t>Facility Limit
31-Dec-2025</t>
  </si>
  <si>
    <t>Outstanding
31-Dec-2025</t>
  </si>
  <si>
    <t>Outstanding
31-Dec-2024</t>
  </si>
  <si>
    <t>Tenor</t>
  </si>
  <si>
    <t>LC Pool - Corporate (Documentary LCs)</t>
  </si>
  <si>
    <t>Various (import)</t>
  </si>
  <si>
    <t>Up to 180 days</t>
  </si>
  <si>
    <t>LC Pool - MSME (Documentary LCs)</t>
  </si>
  <si>
    <t>Commercial Banking</t>
  </si>
  <si>
    <t>Up to 90 days</t>
  </si>
  <si>
    <t>LC Pool - Standby LCs (performance bonds equiv.)</t>
  </si>
  <si>
    <t>Up to 1 year</t>
  </si>
  <si>
    <t>LC Pool - Export LCs (confirmed/advised)</t>
  </si>
  <si>
    <t>Various (export)</t>
  </si>
  <si>
    <t>B) LETTERS OF GUARANTEE (LG)</t>
  </si>
  <si>
    <t>Guarantee Type</t>
  </si>
  <si>
    <t>LG Pool - Performance bonds (corporate)</t>
  </si>
  <si>
    <t>Performance / bid bond</t>
  </si>
  <si>
    <t>1-3 years</t>
  </si>
  <si>
    <t>LG Pool - Financial guarantees (corporate)</t>
  </si>
  <si>
    <t>Financial guarantee</t>
  </si>
  <si>
    <t>1-5 years</t>
  </si>
  <si>
    <t>LG Pool - Advance payment guarantees</t>
  </si>
  <si>
    <t>Advance payment</t>
  </si>
  <si>
    <t>LG Pool - MSME guarantees</t>
  </si>
  <si>
    <t>1-2 years</t>
  </si>
  <si>
    <t>LG Pool - Retail / personal guarantees</t>
  </si>
  <si>
    <t>Personal Banking</t>
  </si>
  <si>
    <t>C) ACCEPTANCES AND IRREVOCABLE COMMITMENTS</t>
  </si>
  <si>
    <t>ACC Pool - Trade acceptances</t>
  </si>
  <si>
    <t>Bill of exchange acceptances - trade finance</t>
  </si>
  <si>
    <t>COM-Irrev-001 - Undrawn financing commitments</t>
  </si>
  <si>
    <t>Undrawn corporate credit facilities (irrevocable)</t>
  </si>
  <si>
    <t>COM-Irrev-002 - Credit card commitments</t>
  </si>
  <si>
    <t>Unutilised credit card limits</t>
  </si>
  <si>
    <t>COM-Irrev-003 - Real estate financing commitments</t>
  </si>
  <si>
    <t>Approved but undrawn real estate finance</t>
  </si>
  <si>
    <t>Up to 6 months</t>
  </si>
  <si>
    <t>NOTE 20 GRAND TOTAL CHECK vs Note 20 disclosure</t>
  </si>
  <si>
    <t>Nominal
Limit 2025</t>
  </si>
  <si>
    <t>Outstanding
2025</t>
  </si>
  <si>
    <t>Outstanding
2024</t>
  </si>
  <si>
    <t>Letters of credit</t>
  </si>
  <si>
    <t>Letters of guarantee</t>
  </si>
  <si>
    <t>Acceptances</t>
  </si>
  <si>
    <t>Irrevocable commitments to extend financing</t>
  </si>
  <si>
    <t>Draft Income, Expense and Fee Notes Input Data (Notes 21-26)</t>
  </si>
  <si>
    <t>A) FUNDED INCOME &amp; EXPENSE - GL WORKPAPER (Note 21)</t>
  </si>
  <si>
    <t>Income / Expense Line</t>
  </si>
  <si>
    <t>Portfolio / Product</t>
  </si>
  <si>
    <t>Avg. Rate 2025</t>
  </si>
  <si>
    <t>Avg. Earning/Cost Asset</t>
  </si>
  <si>
    <t>Income from financing</t>
  </si>
  <si>
    <t>Corporate financing - Tawarraq/Murabaha/Ijarah</t>
  </si>
  <si>
    <t>7.18%</t>
  </si>
  <si>
    <t>SAR 59.2bn avg</t>
  </si>
  <si>
    <t>MSME financing</t>
  </si>
  <si>
    <t>8.24%</t>
  </si>
  <si>
    <t>SAR 6.9bn avg</t>
  </si>
  <si>
    <t>Personal finance - Murabaha</t>
  </si>
  <si>
    <t>8.50%</t>
  </si>
  <si>
    <t>SAR 9.2bn avg</t>
  </si>
  <si>
    <t>Real estate finance - Murabaha/Ijarah</t>
  </si>
  <si>
    <t>7.25%</t>
  </si>
  <si>
    <t>SAR 14.4bn avg</t>
  </si>
  <si>
    <t>Credit cards</t>
  </si>
  <si>
    <t>10.20%</t>
  </si>
  <si>
    <t>SAR 0.86bn avg</t>
  </si>
  <si>
    <t>Income from investments - AC Sukuks</t>
  </si>
  <si>
    <t>Fixed/floating rate Sukuks held at amortised cost</t>
  </si>
  <si>
    <t>4.50%</t>
  </si>
  <si>
    <t>SAR 21.7bn avg</t>
  </si>
  <si>
    <t>Income from investments - FVOCI Sukuks</t>
  </si>
  <si>
    <t>Fixed/floating rate Sukuks held at FVOCI</t>
  </si>
  <si>
    <t>3.98%</t>
  </si>
  <si>
    <t>SAR 10.1bn avg</t>
  </si>
  <si>
    <t>Income from derivatives</t>
  </si>
  <si>
    <t>Profit rate swaps - hedging ineffectiveness &amp; HFT</t>
  </si>
  <si>
    <t>Notional SAR 12.4bn</t>
  </si>
  <si>
    <t>Income from due from banks</t>
  </si>
  <si>
    <t>Interbank placements - murabaha/wakala</t>
  </si>
  <si>
    <t>5.82%</t>
  </si>
  <si>
    <t>SAR 6.0bn avg</t>
  </si>
  <si>
    <t>FUNDED EXPENSE (Return on Deposits and Financial Liabilities)</t>
  </si>
  <si>
    <t>Expense Line</t>
  </si>
  <si>
    <t>Product / Portfolio</t>
  </si>
  <si>
    <t>Avg. Balance</t>
  </si>
  <si>
    <t>Return on deposits - demand / savings (notional cost of funds)</t>
  </si>
  <si>
    <t>Retail demand + savings deposits</t>
  </si>
  <si>
    <t>SAR 27.4bn avg</t>
  </si>
  <si>
    <t>Return on deposits - time investments</t>
  </si>
  <si>
    <t>Corporate + retail time investments</t>
  </si>
  <si>
    <t>4.52%</t>
  </si>
  <si>
    <t>SAR 63.2bn avg</t>
  </si>
  <si>
    <t>Return on deposits - other</t>
  </si>
  <si>
    <t>Other customer deposits</t>
  </si>
  <si>
    <t>SAR 3.6bn avg</t>
  </si>
  <si>
    <t>Return on due to banks</t>
  </si>
  <si>
    <t>Interbank deposits + SAMA FRRP + Repo</t>
  </si>
  <si>
    <t>5.89%</t>
  </si>
  <si>
    <t>SAR 19.8bn avg</t>
  </si>
  <si>
    <t>Derivatives - cost (CFH &amp; HFT)</t>
  </si>
  <si>
    <t>Profit rate swaps - bank pays fixed</t>
  </si>
  <si>
    <t>Return on subordinated Sukuk (Tier 2)</t>
  </si>
  <si>
    <t>SAR 2bn sub Sukuk @ 5.25%</t>
  </si>
  <si>
    <t>5.25%</t>
  </si>
  <si>
    <t>SAR 2bn</t>
  </si>
  <si>
    <t>Return on Tier 1 Sukuk (AT1)</t>
  </si>
  <si>
    <t>SAR 3.875-6.75bn AT1 Sukuk</t>
  </si>
  <si>
    <t>Varies by tranche</t>
  </si>
  <si>
    <t>SAR 5.3bn avg</t>
  </si>
  <si>
    <t>Finance cost on leased assets (ROU)</t>
  </si>
  <si>
    <t>IFRS 16 - interest on lease liabilities</t>
  </si>
  <si>
    <t>6.50%</t>
  </si>
  <si>
    <t>SAR 0.25bn avg</t>
  </si>
  <si>
    <t>Others (EIR amortisation and misc.)</t>
  </si>
  <si>
    <t>Unamortised sub Sukuk issue cost + misc.</t>
  </si>
  <si>
    <t>EIR adjustment</t>
  </si>
  <si>
    <t>B) FEES FROM BANKING SERVICES - GL DETAIL (Note 22)</t>
  </si>
  <si>
    <t>Fee Line</t>
  </si>
  <si>
    <t>Business Unit / Channel</t>
  </si>
  <si>
    <t>YoY Change</t>
  </si>
  <si>
    <t>% of Total Fee Income</t>
  </si>
  <si>
    <t>Cards business fee income</t>
  </si>
  <si>
    <t>Personal Banking - Cards</t>
  </si>
  <si>
    <t>Brokerage &amp; Asset Management</t>
  </si>
  <si>
    <t>Trade finance fees (LC/LG/Acceptances)</t>
  </si>
  <si>
    <t>Corporate Banking - Trade Finance</t>
  </si>
  <si>
    <t>Local share trading commission</t>
  </si>
  <si>
    <t>Personal Banking - Transfers</t>
  </si>
  <si>
    <t>Financing related fees (arrangement, commitment)</t>
  </si>
  <si>
    <t>All segments</t>
  </si>
  <si>
    <t>International share trading commission</t>
  </si>
  <si>
    <t>Other banking service fees</t>
  </si>
  <si>
    <t>Fee Expense Line</t>
  </si>
  <si>
    <t>Business Unit</t>
  </si>
  <si>
    <t>Cards related expenses (interchange, processing)</t>
  </si>
  <si>
    <t>Brokerage fees (share trading commissions paid)</t>
  </si>
  <si>
    <t>Financing related fee expenses</t>
  </si>
  <si>
    <t>International share trading expenses</t>
  </si>
  <si>
    <t>C) NET GAIN/(LOSS) ON FVIS FINANCIAL INSTRUMENTS - GL WORKPAPER (Note 23)</t>
  </si>
  <si>
    <t>Portfolio</t>
  </si>
  <si>
    <t>Realised gain on mutual fund redemptions</t>
  </si>
  <si>
    <t>AlJazira &amp; 3rd party funds</t>
  </si>
  <si>
    <t>Unrealised gain on mutual funds - NAV movement</t>
  </si>
  <si>
    <t>Realised gain/(loss) on equities</t>
  </si>
  <si>
    <t>Listed/unlisted equities - FVIS</t>
  </si>
  <si>
    <t>Unrealised gain/(loss) on equities - mark-to-market</t>
  </si>
  <si>
    <t>Net gain on convertible debt instruments</t>
  </si>
  <si>
    <t>Convertible debt - FVIS</t>
  </si>
  <si>
    <t>Net gain/(loss) on derivatives - HFT mark-to-market</t>
  </si>
  <si>
    <t>PRS - HFT blotter (Note 11)</t>
  </si>
  <si>
    <t>D) DIVIDEND INCOME - REGISTER (Note 24)</t>
  </si>
  <si>
    <t>Investee / Fund</t>
  </si>
  <si>
    <t>Dividend Income
2025</t>
  </si>
  <si>
    <t>Dividend Income
2024</t>
  </si>
  <si>
    <t>Dividend Date</t>
  </si>
  <si>
    <t>FVOCI - equity</t>
  </si>
  <si>
    <t>Mar-2025</t>
  </si>
  <si>
    <t>Listed equities - FVOCI (domestic Tadawul holdings)</t>
  </si>
  <si>
    <t>Various 2025</t>
  </si>
  <si>
    <t>Unquoted equity investments - FVOCI</t>
  </si>
  <si>
    <t>Mutual funds - FVIS (AlJazira &amp; 3rd party)</t>
  </si>
  <si>
    <t>FVIS - mutual funds</t>
  </si>
  <si>
    <t>Equities - FVIS (listed &amp; unlisted)</t>
  </si>
  <si>
    <t>FVIS - equities</t>
  </si>
  <si>
    <t>E) OTHER OPERATING INCOME - GL WORKPAPER (Note 25)</t>
  </si>
  <si>
    <t>Source / Remarks</t>
  </si>
  <si>
    <t>Gain on sale of other real estate (Note 7g)</t>
  </si>
  <si>
    <t>Disposal of repossessed properties - see ORE Register tab</t>
  </si>
  <si>
    <t>Gain on disposal of property and equipment</t>
  </si>
  <si>
    <t>Equipment disposals - see FAR tab</t>
  </si>
  <si>
    <t>Other operating income - miscellaneous</t>
  </si>
  <si>
    <t>FX gains on non-trading positions, rental income, misc.</t>
  </si>
  <si>
    <t>F) GENERAL &amp; ADMINISTRATIVE EXPENSES - COST CENTRE WORKPAPER (Note 26)</t>
  </si>
  <si>
    <t>Expense Category</t>
  </si>
  <si>
    <t>Cost Centre / Description</t>
  </si>
  <si>
    <t>Finance - VAT on expenses, GOSI, levies</t>
  </si>
  <si>
    <t>Repairs, maintenance, utilities and IT costs</t>
  </si>
  <si>
    <t>IT, Facilities, Property teams</t>
  </si>
  <si>
    <t>Insurance costs</t>
  </si>
  <si>
    <t>Finance - insurance premia</t>
  </si>
  <si>
    <t>Legal, professional and consultancy fees</t>
  </si>
  <si>
    <t>Finance, Legal, Compliance teams</t>
  </si>
  <si>
    <t>Communication, publication and advertisement</t>
  </si>
  <si>
    <t>Marketing + IT teams</t>
  </si>
  <si>
    <t>All branches + HO</t>
  </si>
  <si>
    <t>All cost centres</t>
  </si>
  <si>
    <t>Other G&amp;A expenses</t>
  </si>
  <si>
    <t>Various miscellaneous</t>
  </si>
  <si>
    <t>Salaries and employee related expenses (excl. EOSB)</t>
  </si>
  <si>
    <t>All cost centres - payroll per HR system</t>
  </si>
  <si>
    <t>Rent and premises related expenses (short-term, IFRS 16 exempt)</t>
  </si>
  <si>
    <t>Branches + HO - property manager invoices</t>
  </si>
  <si>
    <t>Depreciation - property and equipment (Note 10a)</t>
  </si>
  <si>
    <t>Per FAR roll-forward</t>
  </si>
  <si>
    <t>Depreciation - right-of-use assets (Note 10b)</t>
  </si>
  <si>
    <t>Per ROU Asset register</t>
  </si>
  <si>
    <t>Amortisation - intangible assets (Note 10c)</t>
  </si>
  <si>
    <t>Per Intangibles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</si>
</sst>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19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i/>
      <sz val="9"/>
      <color rgb="FF595959"/>
      <name val="Arial"/>
      <family val="2"/>
    </font>
    <font>
      <sz val="9"/>
      <color rgb="FF0000FF"/>
      <name val="Arial"/>
      <family val="2"/>
    </font>
    <font>
      <sz val="9"/>
      <name val="Arial"/>
      <family val="2"/>
    </font>
    <font>
      <b/>
      <sz val="8"/>
      <color rgb="FFFFFFFF"/>
      <name val="Aptos"/>
      <family val="2"/>
    </font>
    <font>
      <sz val="8"/>
      <color theme="1"/>
      <name val="Aptos"/>
      <family val="2"/>
    </font>
    <font>
      <sz val="8"/>
      <name val="Aptos"/>
      <family val="2"/>
    </font>
    <font>
      <sz val="11"/>
      <name val="Calibri"/>
      <family val="2"/>
      <charset val="1"/>
    </font>
    <font>
      <b/>
      <sz val="14"/>
      <color rgb="FF1F4E78"/>
      <name val="Arial"/>
      <family val="2"/>
    </font>
    <font>
      <b/>
      <sz val="9"/>
      <name val="Arial"/>
      <family val="2"/>
    </font>
    <font>
      <b/>
      <sz val="11"/>
      <color rgb="FFFFFFFF"/>
      <name val="Arial"/>
      <family val="2"/>
    </font>
    <font>
      <b/>
      <sz val="14"/>
      <name val="Arial"/>
      <family val="2"/>
    </font>
    <font>
      <sz val="11"/>
      <name val="Calibri"/>
      <family val="2"/>
      <scheme val="minor"/>
    </font>
    <font>
      <b/>
      <sz val="11"/>
      <name val="Arial"/>
      <family val="2"/>
    </font>
    <font>
      <i/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8"/>
        <bgColor rgb="FF003366"/>
      </patternFill>
    </fill>
    <fill>
      <patternFill patternType="solid">
        <fgColor rgb="FFBDD7EE"/>
        <bgColor rgb="FF99CCFF"/>
      </patternFill>
    </fill>
    <fill>
      <patternFill patternType="solid">
        <fgColor rgb="FF92D050"/>
        <bgColor rgb="FF003366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2EFDA"/>
        <bgColor rgb="FFFFF2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0" borderId="0" xfId="0" applyFont="1"/>
    <xf numFmtId="164" fontId="6" fillId="0" borderId="1" xfId="0" applyNumberFormat="1" applyFont="1" applyBorder="1"/>
    <xf numFmtId="0" fontId="0" fillId="0" borderId="0" xfId="0" applyAlignment="1">
      <alignment wrapText="1"/>
    </xf>
    <xf numFmtId="0" fontId="3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0" xfId="0" applyFont="1"/>
    <xf numFmtId="0" fontId="10" fillId="0" borderId="1" xfId="0" applyFont="1" applyBorder="1"/>
    <xf numFmtId="0" fontId="10" fillId="6" borderId="1" xfId="0" applyFont="1" applyFill="1" applyBorder="1"/>
    <xf numFmtId="164" fontId="10" fillId="6" borderId="1" xfId="0" applyNumberFormat="1" applyFont="1" applyFill="1" applyBorder="1"/>
    <xf numFmtId="0" fontId="9" fillId="6" borderId="0" xfId="0" applyFont="1" applyFill="1"/>
    <xf numFmtId="164" fontId="0" fillId="0" borderId="0" xfId="0" applyNumberFormat="1"/>
    <xf numFmtId="164" fontId="10" fillId="0" borderId="1" xfId="0" applyNumberFormat="1" applyFont="1" applyBorder="1"/>
    <xf numFmtId="0" fontId="7" fillId="0" borderId="1" xfId="0" applyFont="1" applyBorder="1"/>
    <xf numFmtId="164" fontId="7" fillId="0" borderId="1" xfId="0" applyNumberFormat="1" applyFont="1" applyBorder="1"/>
    <xf numFmtId="0" fontId="11" fillId="0" borderId="0" xfId="0" applyFont="1"/>
    <xf numFmtId="0" fontId="12" fillId="0" borderId="0" xfId="0" applyFont="1"/>
    <xf numFmtId="0" fontId="4" fillId="7" borderId="1" xfId="0" applyFont="1" applyFill="1" applyBorder="1"/>
    <xf numFmtId="164" fontId="6" fillId="7" borderId="1" xfId="0" applyNumberFormat="1" applyFont="1" applyFill="1" applyBorder="1"/>
    <xf numFmtId="0" fontId="0" fillId="7" borderId="0" xfId="0" applyFill="1"/>
    <xf numFmtId="0" fontId="13" fillId="4" borderId="1" xfId="0" applyFont="1" applyFill="1" applyBorder="1"/>
    <xf numFmtId="164" fontId="13" fillId="4" borderId="1" xfId="0" applyNumberFormat="1" applyFont="1" applyFill="1" applyBorder="1"/>
    <xf numFmtId="0" fontId="14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2" fillId="0" borderId="0" xfId="1" applyFont="1"/>
    <xf numFmtId="0" fontId="1" fillId="0" borderId="0" xfId="1"/>
    <xf numFmtId="0" fontId="2" fillId="2" borderId="0" xfId="1" applyFont="1" applyFill="1" applyAlignment="1">
      <alignment horizontal="left" vertical="center"/>
    </xf>
    <xf numFmtId="0" fontId="3" fillId="3" borderId="1" xfId="1" applyFont="1" applyFill="1" applyBorder="1" applyAlignment="1">
      <alignment horizontal="center" vertical="center" wrapText="1"/>
    </xf>
    <xf numFmtId="0" fontId="4" fillId="0" borderId="1" xfId="1" applyFont="1" applyBorder="1"/>
    <xf numFmtId="164" fontId="4" fillId="0" borderId="1" xfId="1" applyNumberFormat="1" applyFont="1" applyBorder="1"/>
    <xf numFmtId="164" fontId="6" fillId="0" borderId="1" xfId="1" applyNumberFormat="1" applyFont="1" applyBorder="1"/>
    <xf numFmtId="0" fontId="15" fillId="0" borderId="0" xfId="1" applyFont="1"/>
    <xf numFmtId="0" fontId="16" fillId="0" borderId="0" xfId="1" applyFont="1"/>
    <xf numFmtId="0" fontId="17" fillId="2" borderId="0" xfId="1" applyFont="1" applyFill="1" applyAlignment="1">
      <alignment horizontal="left" vertical="center"/>
    </xf>
    <xf numFmtId="0" fontId="13" fillId="3" borderId="1" xfId="1" applyFont="1" applyFill="1" applyBorder="1" applyAlignment="1">
      <alignment horizontal="center" vertical="center" wrapText="1"/>
    </xf>
    <xf numFmtId="0" fontId="18" fillId="0" borderId="0" xfId="1" applyFont="1"/>
    <xf numFmtId="0" fontId="13" fillId="0" borderId="1" xfId="1" applyFont="1" applyBorder="1"/>
    <xf numFmtId="0" fontId="4" fillId="0" borderId="1" xfId="1" applyFont="1" applyBorder="1"/>
    <xf numFmtId="10" fontId="4" fillId="0" borderId="1" xfId="1" applyNumberFormat="1" applyFont="1" applyBorder="1"/>
    <xf numFmtId="0" fontId="13" fillId="4" borderId="1" xfId="1" applyFont="1" applyFill="1" applyBorder="1"/>
    <xf numFmtId="164" fontId="13" fillId="4" borderId="1" xfId="1" applyNumberFormat="1" applyFont="1" applyFill="1" applyBorder="1"/>
    <xf numFmtId="0" fontId="13" fillId="8" borderId="1" xfId="1" applyFont="1" applyFill="1" applyBorder="1"/>
    <xf numFmtId="164" fontId="13" fillId="8" borderId="1" xfId="1" applyNumberFormat="1" applyFont="1" applyFill="1" applyBorder="1"/>
    <xf numFmtId="164" fontId="16" fillId="0" borderId="0" xfId="1" applyNumberFormat="1" applyFont="1"/>
    <xf numFmtId="164" fontId="13" fillId="0" borderId="1" xfId="1" applyNumberFormat="1" applyFont="1" applyBorder="1"/>
  </cellXfs>
  <cellStyles count="2">
    <cellStyle name="Normal" xfId="0" builtinId="0"/>
    <cellStyle name="Normal 2" xfId="1" xr:uid="{72227FA6-504A-4587-9060-A4DBD634415F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184"/>
  <sheetViews>
    <sheetView showGridLines="0" tabSelected="1" zoomScaleNormal="100" workbookViewId="0">
      <pane ySplit="2" topLeftCell="A3" activePane="bottomLeft" state="frozen"/>
      <selection sqref="A1:E1"/>
      <selection pane="bottomLeft" activeCell="A3" sqref="A3"/>
    </sheetView>
  </sheetViews>
  <sheetFormatPr defaultColWidth="8.6328125" defaultRowHeight="10.5" x14ac:dyDescent="0.25"/>
  <cols>
    <col min="1" max="3" width="11" style="9" customWidth="1"/>
    <col min="4" max="7" width="16" style="9" customWidth="1"/>
    <col min="8" max="8" width="9" style="9" customWidth="1"/>
    <col min="9" max="9" width="18" style="9" customWidth="1"/>
    <col min="10" max="10" width="42" style="9" customWidth="1"/>
    <col min="11" max="11" width="38" style="9" customWidth="1"/>
    <col min="12" max="12" width="42" style="9" customWidth="1"/>
    <col min="13" max="13" width="34" style="9" customWidth="1"/>
    <col min="14" max="16384" width="8.6328125" style="9"/>
  </cols>
  <sheetData>
    <row r="2" spans="1:13" ht="30" customHeight="1" x14ac:dyDescent="0.25">
      <c r="A2" s="7" t="s">
        <v>1</v>
      </c>
      <c r="B2" s="7" t="s">
        <v>2</v>
      </c>
      <c r="C2" s="7" t="s">
        <v>903</v>
      </c>
      <c r="D2" s="8" t="s">
        <v>2</v>
      </c>
      <c r="E2" s="7" t="s">
        <v>3</v>
      </c>
      <c r="F2" s="7" t="s">
        <v>903</v>
      </c>
      <c r="G2" s="8" t="s">
        <v>3</v>
      </c>
      <c r="H2" s="7" t="s">
        <v>4</v>
      </c>
      <c r="I2" s="7" t="s">
        <v>5</v>
      </c>
      <c r="J2" s="7" t="s">
        <v>6</v>
      </c>
      <c r="K2" s="7" t="s">
        <v>7</v>
      </c>
      <c r="L2" s="7" t="s">
        <v>8</v>
      </c>
      <c r="M2" s="7" t="s">
        <v>9</v>
      </c>
    </row>
    <row r="3" spans="1:13" ht="15" customHeight="1" x14ac:dyDescent="0.25">
      <c r="A3" s="10">
        <v>1000</v>
      </c>
      <c r="B3" s="15">
        <v>541422</v>
      </c>
      <c r="C3" s="10"/>
      <c r="D3" s="15">
        <f>B3+C3</f>
        <v>541422</v>
      </c>
      <c r="E3" s="15">
        <v>688914</v>
      </c>
      <c r="F3" s="15"/>
      <c r="G3" s="15">
        <f>E3+F3</f>
        <v>688914</v>
      </c>
      <c r="H3" s="10" t="s">
        <v>10</v>
      </c>
      <c r="I3" s="10" t="s">
        <v>901</v>
      </c>
      <c r="J3" s="10" t="s">
        <v>11</v>
      </c>
      <c r="K3" s="10" t="s">
        <v>12</v>
      </c>
      <c r="L3" s="10"/>
      <c r="M3" s="10" t="s">
        <v>13</v>
      </c>
    </row>
    <row r="4" spans="1:13" ht="15" customHeight="1" x14ac:dyDescent="0.25">
      <c r="A4" s="10">
        <v>1001</v>
      </c>
      <c r="B4" s="15">
        <v>494948</v>
      </c>
      <c r="C4" s="10"/>
      <c r="D4" s="15">
        <f t="shared" ref="D4:D67" si="0">B4+C4</f>
        <v>494948</v>
      </c>
      <c r="E4" s="15">
        <v>0</v>
      </c>
      <c r="F4" s="15"/>
      <c r="G4" s="15">
        <f t="shared" ref="G4:G67" si="1">E4+F4</f>
        <v>0</v>
      </c>
      <c r="H4" s="10" t="s">
        <v>10</v>
      </c>
      <c r="I4" s="10" t="s">
        <v>901</v>
      </c>
      <c r="J4" s="10" t="s">
        <v>11</v>
      </c>
      <c r="K4" s="10" t="s">
        <v>14</v>
      </c>
      <c r="L4" s="10"/>
      <c r="M4" s="10" t="s">
        <v>13</v>
      </c>
    </row>
    <row r="5" spans="1:13" ht="15" customHeight="1" x14ac:dyDescent="0.25">
      <c r="A5" s="10">
        <v>1002</v>
      </c>
      <c r="B5" s="15">
        <v>518153</v>
      </c>
      <c r="C5" s="10"/>
      <c r="D5" s="15">
        <f t="shared" si="0"/>
        <v>518153</v>
      </c>
      <c r="E5" s="15">
        <v>465421</v>
      </c>
      <c r="F5" s="15"/>
      <c r="G5" s="15">
        <f t="shared" si="1"/>
        <v>465421</v>
      </c>
      <c r="H5" s="10" t="s">
        <v>10</v>
      </c>
      <c r="I5" s="10" t="s">
        <v>901</v>
      </c>
      <c r="J5" s="10" t="s">
        <v>11</v>
      </c>
      <c r="K5" s="10" t="s">
        <v>15</v>
      </c>
      <c r="L5" s="10"/>
      <c r="M5" s="10" t="s">
        <v>13</v>
      </c>
    </row>
    <row r="6" spans="1:13" ht="15" customHeight="1" x14ac:dyDescent="0.25">
      <c r="A6" s="10">
        <v>1003</v>
      </c>
      <c r="B6" s="15">
        <v>5504686</v>
      </c>
      <c r="C6" s="10"/>
      <c r="D6" s="15">
        <f t="shared" si="0"/>
        <v>5504686</v>
      </c>
      <c r="E6" s="15">
        <v>5429455</v>
      </c>
      <c r="F6" s="15"/>
      <c r="G6" s="15">
        <f t="shared" si="1"/>
        <v>5429455</v>
      </c>
      <c r="H6" s="10" t="s">
        <v>10</v>
      </c>
      <c r="I6" s="10" t="s">
        <v>901</v>
      </c>
      <c r="J6" s="10" t="s">
        <v>11</v>
      </c>
      <c r="K6" s="10" t="s">
        <v>16</v>
      </c>
      <c r="L6" s="10"/>
      <c r="M6" s="10" t="s">
        <v>13</v>
      </c>
    </row>
    <row r="7" spans="1:13" ht="15" customHeight="1" x14ac:dyDescent="0.25">
      <c r="A7" s="10">
        <v>1004</v>
      </c>
      <c r="B7" s="15">
        <v>986136</v>
      </c>
      <c r="C7" s="10"/>
      <c r="D7" s="15">
        <f t="shared" si="0"/>
        <v>986136</v>
      </c>
      <c r="E7" s="15">
        <v>404794</v>
      </c>
      <c r="F7" s="15"/>
      <c r="G7" s="15">
        <f t="shared" si="1"/>
        <v>404794</v>
      </c>
      <c r="H7" s="10" t="s">
        <v>10</v>
      </c>
      <c r="I7" s="10" t="s">
        <v>901</v>
      </c>
      <c r="J7" s="10" t="s">
        <v>17</v>
      </c>
      <c r="K7" s="10" t="s">
        <v>18</v>
      </c>
      <c r="L7" s="10"/>
      <c r="M7" s="10" t="s">
        <v>19</v>
      </c>
    </row>
    <row r="8" spans="1:13" ht="15" customHeight="1" x14ac:dyDescent="0.25">
      <c r="A8" s="10">
        <v>1005</v>
      </c>
      <c r="B8" s="15">
        <v>4026851</v>
      </c>
      <c r="C8" s="10"/>
      <c r="D8" s="15">
        <f t="shared" si="0"/>
        <v>4026851</v>
      </c>
      <c r="E8" s="15">
        <v>3534191</v>
      </c>
      <c r="F8" s="15"/>
      <c r="G8" s="15">
        <f t="shared" si="1"/>
        <v>3534191</v>
      </c>
      <c r="H8" s="10" t="s">
        <v>10</v>
      </c>
      <c r="I8" s="10" t="s">
        <v>901</v>
      </c>
      <c r="J8" s="10" t="s">
        <v>17</v>
      </c>
      <c r="K8" s="10" t="s">
        <v>20</v>
      </c>
      <c r="L8" s="10" t="s">
        <v>21</v>
      </c>
      <c r="M8" s="10" t="s">
        <v>19</v>
      </c>
    </row>
    <row r="9" spans="1:13" ht="15" customHeight="1" x14ac:dyDescent="0.25">
      <c r="A9" s="10">
        <v>1006</v>
      </c>
      <c r="B9" s="15">
        <v>1021938</v>
      </c>
      <c r="C9" s="10"/>
      <c r="D9" s="15">
        <f t="shared" si="0"/>
        <v>1021938</v>
      </c>
      <c r="E9" s="15">
        <v>2766369</v>
      </c>
      <c r="F9" s="15"/>
      <c r="G9" s="15">
        <f t="shared" si="1"/>
        <v>2766369</v>
      </c>
      <c r="H9" s="10" t="s">
        <v>10</v>
      </c>
      <c r="I9" s="10" t="s">
        <v>901</v>
      </c>
      <c r="J9" s="10" t="s">
        <v>17</v>
      </c>
      <c r="K9" s="10" t="s">
        <v>20</v>
      </c>
      <c r="L9" s="10" t="s">
        <v>22</v>
      </c>
      <c r="M9" s="10" t="s">
        <v>19</v>
      </c>
    </row>
    <row r="10" spans="1:13" ht="15" customHeight="1" x14ac:dyDescent="0.25">
      <c r="A10" s="10">
        <v>1007</v>
      </c>
      <c r="B10" s="15">
        <v>-9154</v>
      </c>
      <c r="C10" s="10"/>
      <c r="D10" s="15">
        <f t="shared" si="0"/>
        <v>-9154</v>
      </c>
      <c r="E10" s="15">
        <v>-8237</v>
      </c>
      <c r="F10" s="15"/>
      <c r="G10" s="15">
        <f t="shared" si="1"/>
        <v>-8237</v>
      </c>
      <c r="H10" s="10" t="s">
        <v>10</v>
      </c>
      <c r="I10" s="10" t="s">
        <v>901</v>
      </c>
      <c r="J10" s="10" t="s">
        <v>17</v>
      </c>
      <c r="K10" s="10" t="s">
        <v>23</v>
      </c>
      <c r="L10" s="10"/>
      <c r="M10" s="10" t="s">
        <v>24</v>
      </c>
    </row>
    <row r="11" spans="1:13" ht="15" customHeight="1" x14ac:dyDescent="0.25">
      <c r="A11" s="10">
        <v>1008</v>
      </c>
      <c r="B11" s="15">
        <v>2105933</v>
      </c>
      <c r="C11" s="10"/>
      <c r="D11" s="15">
        <f t="shared" si="0"/>
        <v>2105933</v>
      </c>
      <c r="E11" s="15">
        <v>1748147</v>
      </c>
      <c r="F11" s="15"/>
      <c r="G11" s="15">
        <f t="shared" si="1"/>
        <v>1748147</v>
      </c>
      <c r="H11" s="10" t="s">
        <v>10</v>
      </c>
      <c r="I11" s="10" t="s">
        <v>901</v>
      </c>
      <c r="J11" s="10" t="s">
        <v>25</v>
      </c>
      <c r="K11" s="10" t="s">
        <v>26</v>
      </c>
      <c r="L11" s="10" t="s">
        <v>27</v>
      </c>
      <c r="M11" s="10" t="s">
        <v>28</v>
      </c>
    </row>
    <row r="12" spans="1:13" ht="15" customHeight="1" x14ac:dyDescent="0.25">
      <c r="A12" s="10">
        <v>1009</v>
      </c>
      <c r="B12" s="15">
        <v>38300</v>
      </c>
      <c r="C12" s="10"/>
      <c r="D12" s="15">
        <f t="shared" si="0"/>
        <v>38300</v>
      </c>
      <c r="E12" s="15">
        <v>17264</v>
      </c>
      <c r="F12" s="15"/>
      <c r="G12" s="15">
        <f t="shared" si="1"/>
        <v>17264</v>
      </c>
      <c r="H12" s="10" t="s">
        <v>10</v>
      </c>
      <c r="I12" s="10" t="s">
        <v>901</v>
      </c>
      <c r="J12" s="10" t="s">
        <v>25</v>
      </c>
      <c r="K12" s="10" t="s">
        <v>26</v>
      </c>
      <c r="L12" s="10" t="s">
        <v>29</v>
      </c>
      <c r="M12" s="10" t="s">
        <v>28</v>
      </c>
    </row>
    <row r="13" spans="1:13" ht="15" customHeight="1" x14ac:dyDescent="0.25">
      <c r="A13" s="10">
        <v>1010</v>
      </c>
      <c r="B13" s="15">
        <v>568962</v>
      </c>
      <c r="C13" s="10"/>
      <c r="D13" s="15">
        <f t="shared" si="0"/>
        <v>568962</v>
      </c>
      <c r="E13" s="15">
        <v>482589</v>
      </c>
      <c r="F13" s="15"/>
      <c r="G13" s="15">
        <f t="shared" si="1"/>
        <v>482589</v>
      </c>
      <c r="H13" s="10" t="s">
        <v>10</v>
      </c>
      <c r="I13" s="10" t="s">
        <v>901</v>
      </c>
      <c r="J13" s="10" t="s">
        <v>25</v>
      </c>
      <c r="K13" s="10" t="s">
        <v>26</v>
      </c>
      <c r="L13" s="10" t="s">
        <v>30</v>
      </c>
      <c r="M13" s="10" t="s">
        <v>28</v>
      </c>
    </row>
    <row r="14" spans="1:13" ht="15" customHeight="1" x14ac:dyDescent="0.25">
      <c r="A14" s="10">
        <v>1011</v>
      </c>
      <c r="B14" s="15">
        <v>21720</v>
      </c>
      <c r="C14" s="10"/>
      <c r="D14" s="15">
        <f t="shared" si="0"/>
        <v>21720</v>
      </c>
      <c r="E14" s="15">
        <v>6618</v>
      </c>
      <c r="F14" s="15"/>
      <c r="G14" s="15">
        <f t="shared" si="1"/>
        <v>6618</v>
      </c>
      <c r="H14" s="10" t="s">
        <v>10</v>
      </c>
      <c r="I14" s="10" t="s">
        <v>901</v>
      </c>
      <c r="J14" s="10" t="s">
        <v>25</v>
      </c>
      <c r="K14" s="10" t="s">
        <v>26</v>
      </c>
      <c r="L14" s="10" t="s">
        <v>31</v>
      </c>
      <c r="M14" s="10" t="s">
        <v>28</v>
      </c>
    </row>
    <row r="15" spans="1:13" ht="15" customHeight="1" x14ac:dyDescent="0.25">
      <c r="A15" s="10">
        <v>1012</v>
      </c>
      <c r="B15" s="15">
        <v>280859</v>
      </c>
      <c r="C15" s="10"/>
      <c r="D15" s="15">
        <f t="shared" si="0"/>
        <v>280859</v>
      </c>
      <c r="E15" s="15">
        <v>283907</v>
      </c>
      <c r="F15" s="15"/>
      <c r="G15" s="15">
        <f t="shared" si="1"/>
        <v>283907</v>
      </c>
      <c r="H15" s="10" t="s">
        <v>10</v>
      </c>
      <c r="I15" s="10" t="s">
        <v>901</v>
      </c>
      <c r="J15" s="10" t="s">
        <v>25</v>
      </c>
      <c r="K15" s="10" t="s">
        <v>32</v>
      </c>
      <c r="L15" s="10" t="s">
        <v>30</v>
      </c>
      <c r="M15" s="10" t="s">
        <v>28</v>
      </c>
    </row>
    <row r="16" spans="1:13" ht="15" customHeight="1" x14ac:dyDescent="0.25">
      <c r="A16" s="10">
        <v>1013</v>
      </c>
      <c r="B16" s="15">
        <v>2499792</v>
      </c>
      <c r="C16" s="10"/>
      <c r="D16" s="15">
        <f t="shared" si="0"/>
        <v>2499792</v>
      </c>
      <c r="E16" s="15">
        <v>2299378</v>
      </c>
      <c r="F16" s="15"/>
      <c r="G16" s="15">
        <f t="shared" si="1"/>
        <v>2299378</v>
      </c>
      <c r="H16" s="10" t="s">
        <v>10</v>
      </c>
      <c r="I16" s="10" t="s">
        <v>901</v>
      </c>
      <c r="J16" s="10" t="s">
        <v>25</v>
      </c>
      <c r="K16" s="10" t="s">
        <v>32</v>
      </c>
      <c r="L16" s="10" t="s">
        <v>33</v>
      </c>
      <c r="M16" s="10" t="s">
        <v>28</v>
      </c>
    </row>
    <row r="17" spans="1:13" ht="15" customHeight="1" x14ac:dyDescent="0.25">
      <c r="A17" s="10">
        <v>1014</v>
      </c>
      <c r="B17" s="15">
        <v>707649</v>
      </c>
      <c r="C17" s="10"/>
      <c r="D17" s="15">
        <f t="shared" si="0"/>
        <v>707649</v>
      </c>
      <c r="E17" s="15">
        <v>700000</v>
      </c>
      <c r="F17" s="15"/>
      <c r="G17" s="15">
        <f t="shared" si="1"/>
        <v>700000</v>
      </c>
      <c r="H17" s="10" t="s">
        <v>10</v>
      </c>
      <c r="I17" s="10" t="s">
        <v>901</v>
      </c>
      <c r="J17" s="10" t="s">
        <v>25</v>
      </c>
      <c r="K17" s="10" t="s">
        <v>32</v>
      </c>
      <c r="L17" s="10" t="s">
        <v>34</v>
      </c>
      <c r="M17" s="10" t="s">
        <v>28</v>
      </c>
    </row>
    <row r="18" spans="1:13" ht="15" customHeight="1" x14ac:dyDescent="0.25">
      <c r="A18" s="10">
        <v>1015</v>
      </c>
      <c r="B18" s="15">
        <v>9945629</v>
      </c>
      <c r="C18" s="10"/>
      <c r="D18" s="15">
        <f t="shared" si="0"/>
        <v>9945629</v>
      </c>
      <c r="E18" s="15">
        <v>9496067</v>
      </c>
      <c r="F18" s="15"/>
      <c r="G18" s="15">
        <f t="shared" si="1"/>
        <v>9496067</v>
      </c>
      <c r="H18" s="10" t="s">
        <v>10</v>
      </c>
      <c r="I18" s="10" t="s">
        <v>901</v>
      </c>
      <c r="J18" s="10" t="s">
        <v>25</v>
      </c>
      <c r="K18" s="10" t="s">
        <v>32</v>
      </c>
      <c r="L18" s="10" t="s">
        <v>35</v>
      </c>
      <c r="M18" s="10" t="s">
        <v>28</v>
      </c>
    </row>
    <row r="19" spans="1:13" ht="15" customHeight="1" x14ac:dyDescent="0.25">
      <c r="A19" s="10">
        <v>1016</v>
      </c>
      <c r="B19" s="15">
        <v>570714</v>
      </c>
      <c r="C19" s="10"/>
      <c r="D19" s="15">
        <f t="shared" si="0"/>
        <v>570714</v>
      </c>
      <c r="E19" s="15">
        <v>290366</v>
      </c>
      <c r="F19" s="15"/>
      <c r="G19" s="15">
        <f t="shared" si="1"/>
        <v>290366</v>
      </c>
      <c r="H19" s="10" t="s">
        <v>10</v>
      </c>
      <c r="I19" s="10" t="s">
        <v>901</v>
      </c>
      <c r="J19" s="10" t="s">
        <v>25</v>
      </c>
      <c r="K19" s="10" t="s">
        <v>32</v>
      </c>
      <c r="L19" s="10" t="s">
        <v>36</v>
      </c>
      <c r="M19" s="10" t="s">
        <v>28</v>
      </c>
    </row>
    <row r="20" spans="1:13" ht="15" customHeight="1" x14ac:dyDescent="0.25">
      <c r="A20" s="10">
        <v>1017</v>
      </c>
      <c r="B20" s="15">
        <v>-3980</v>
      </c>
      <c r="C20" s="10"/>
      <c r="D20" s="15">
        <f t="shared" si="0"/>
        <v>-3980</v>
      </c>
      <c r="E20" s="15">
        <v>-1847</v>
      </c>
      <c r="F20" s="15"/>
      <c r="G20" s="15">
        <f t="shared" si="1"/>
        <v>-1847</v>
      </c>
      <c r="H20" s="10" t="s">
        <v>10</v>
      </c>
      <c r="I20" s="10" t="s">
        <v>901</v>
      </c>
      <c r="J20" s="10" t="s">
        <v>25</v>
      </c>
      <c r="K20" s="10" t="s">
        <v>32</v>
      </c>
      <c r="L20" s="10" t="s">
        <v>23</v>
      </c>
      <c r="M20" s="10" t="s">
        <v>28</v>
      </c>
    </row>
    <row r="21" spans="1:13" ht="15" customHeight="1" x14ac:dyDescent="0.25">
      <c r="A21" s="10">
        <v>1018</v>
      </c>
      <c r="B21" s="15">
        <v>18820421</v>
      </c>
      <c r="C21" s="10"/>
      <c r="D21" s="15">
        <f t="shared" si="0"/>
        <v>18820421</v>
      </c>
      <c r="E21" s="15">
        <v>16570435</v>
      </c>
      <c r="F21" s="15"/>
      <c r="G21" s="15">
        <f t="shared" si="1"/>
        <v>16570435</v>
      </c>
      <c r="H21" s="10" t="s">
        <v>10</v>
      </c>
      <c r="I21" s="10" t="s">
        <v>901</v>
      </c>
      <c r="J21" s="10" t="s">
        <v>25</v>
      </c>
      <c r="K21" s="10" t="s">
        <v>37</v>
      </c>
      <c r="L21" s="10" t="s">
        <v>35</v>
      </c>
      <c r="M21" s="10" t="s">
        <v>28</v>
      </c>
    </row>
    <row r="22" spans="1:13" ht="15" customHeight="1" x14ac:dyDescent="0.25">
      <c r="A22" s="10">
        <v>1019</v>
      </c>
      <c r="B22" s="15">
        <v>3421107</v>
      </c>
      <c r="C22" s="10"/>
      <c r="D22" s="15">
        <f t="shared" si="0"/>
        <v>3421107</v>
      </c>
      <c r="E22" s="15">
        <v>3412116</v>
      </c>
      <c r="F22" s="15"/>
      <c r="G22" s="15">
        <f t="shared" si="1"/>
        <v>3412116</v>
      </c>
      <c r="H22" s="10" t="s">
        <v>10</v>
      </c>
      <c r="I22" s="10" t="s">
        <v>901</v>
      </c>
      <c r="J22" s="10" t="s">
        <v>25</v>
      </c>
      <c r="K22" s="10" t="s">
        <v>37</v>
      </c>
      <c r="L22" s="10" t="s">
        <v>36</v>
      </c>
      <c r="M22" s="10" t="s">
        <v>28</v>
      </c>
    </row>
    <row r="23" spans="1:13" ht="15" customHeight="1" x14ac:dyDescent="0.25">
      <c r="A23" s="10">
        <v>1020</v>
      </c>
      <c r="B23" s="15">
        <v>0</v>
      </c>
      <c r="C23" s="10"/>
      <c r="D23" s="15">
        <f t="shared" si="0"/>
        <v>0</v>
      </c>
      <c r="E23" s="15">
        <v>1111421</v>
      </c>
      <c r="F23" s="15"/>
      <c r="G23" s="15">
        <f t="shared" si="1"/>
        <v>1111421</v>
      </c>
      <c r="H23" s="10" t="s">
        <v>10</v>
      </c>
      <c r="I23" s="10" t="s">
        <v>901</v>
      </c>
      <c r="J23" s="10" t="s">
        <v>25</v>
      </c>
      <c r="K23" s="10" t="s">
        <v>37</v>
      </c>
      <c r="L23" s="10" t="s">
        <v>38</v>
      </c>
      <c r="M23" s="10" t="s">
        <v>28</v>
      </c>
    </row>
    <row r="24" spans="1:13" ht="15" customHeight="1" x14ac:dyDescent="0.25">
      <c r="A24" s="10">
        <v>1021</v>
      </c>
      <c r="B24" s="15">
        <v>-9226</v>
      </c>
      <c r="C24" s="10"/>
      <c r="D24" s="15">
        <f t="shared" si="0"/>
        <v>-9226</v>
      </c>
      <c r="E24" s="15">
        <v>-10105</v>
      </c>
      <c r="F24" s="15"/>
      <c r="G24" s="15">
        <f t="shared" si="1"/>
        <v>-10105</v>
      </c>
      <c r="H24" s="10" t="s">
        <v>10</v>
      </c>
      <c r="I24" s="10" t="s">
        <v>901</v>
      </c>
      <c r="J24" s="10" t="s">
        <v>25</v>
      </c>
      <c r="K24" s="10" t="s">
        <v>37</v>
      </c>
      <c r="L24" s="10" t="s">
        <v>23</v>
      </c>
      <c r="M24" s="10" t="s">
        <v>28</v>
      </c>
    </row>
    <row r="25" spans="1:13" ht="15" customHeight="1" x14ac:dyDescent="0.25">
      <c r="A25" s="10">
        <v>1022</v>
      </c>
      <c r="B25" s="15">
        <v>51317808</v>
      </c>
      <c r="C25" s="10"/>
      <c r="D25" s="15">
        <f t="shared" si="0"/>
        <v>51317808</v>
      </c>
      <c r="E25" s="15">
        <v>45342788</v>
      </c>
      <c r="F25" s="15"/>
      <c r="G25" s="15">
        <f t="shared" si="1"/>
        <v>45342788</v>
      </c>
      <c r="H25" s="10" t="s">
        <v>10</v>
      </c>
      <c r="I25" s="10" t="s">
        <v>901</v>
      </c>
      <c r="J25" s="10" t="s">
        <v>39</v>
      </c>
      <c r="K25" s="10" t="s">
        <v>40</v>
      </c>
      <c r="L25" s="10" t="s">
        <v>41</v>
      </c>
      <c r="M25" s="10" t="s">
        <v>42</v>
      </c>
    </row>
    <row r="26" spans="1:13" ht="15" customHeight="1" x14ac:dyDescent="0.25">
      <c r="A26" s="10">
        <v>1023</v>
      </c>
      <c r="B26" s="15">
        <v>7612640</v>
      </c>
      <c r="C26" s="10"/>
      <c r="D26" s="15">
        <f t="shared" si="0"/>
        <v>7612640</v>
      </c>
      <c r="E26" s="15">
        <v>6198214</v>
      </c>
      <c r="F26" s="15"/>
      <c r="G26" s="15">
        <f t="shared" si="1"/>
        <v>6198214</v>
      </c>
      <c r="H26" s="10" t="s">
        <v>10</v>
      </c>
      <c r="I26" s="10" t="s">
        <v>901</v>
      </c>
      <c r="J26" s="10" t="s">
        <v>39</v>
      </c>
      <c r="K26" s="10" t="s">
        <v>40</v>
      </c>
      <c r="L26" s="10" t="s">
        <v>43</v>
      </c>
      <c r="M26" s="10" t="s">
        <v>42</v>
      </c>
    </row>
    <row r="27" spans="1:13" ht="15" customHeight="1" x14ac:dyDescent="0.25">
      <c r="A27" s="10">
        <v>1024</v>
      </c>
      <c r="B27" s="15">
        <v>14436770</v>
      </c>
      <c r="C27" s="10"/>
      <c r="D27" s="15">
        <f t="shared" si="0"/>
        <v>14436770</v>
      </c>
      <c r="E27" s="15">
        <v>12322040</v>
      </c>
      <c r="F27" s="15"/>
      <c r="G27" s="15">
        <f t="shared" si="1"/>
        <v>12322040</v>
      </c>
      <c r="H27" s="10" t="s">
        <v>10</v>
      </c>
      <c r="I27" s="10" t="s">
        <v>901</v>
      </c>
      <c r="J27" s="10" t="s">
        <v>39</v>
      </c>
      <c r="K27" s="10" t="s">
        <v>40</v>
      </c>
      <c r="L27" s="10" t="s">
        <v>44</v>
      </c>
      <c r="M27" s="10" t="s">
        <v>42</v>
      </c>
    </row>
    <row r="28" spans="1:13" ht="15" customHeight="1" x14ac:dyDescent="0.25">
      <c r="A28" s="10">
        <v>1025</v>
      </c>
      <c r="B28" s="15">
        <v>-1858689</v>
      </c>
      <c r="C28" s="10"/>
      <c r="D28" s="15">
        <f t="shared" si="0"/>
        <v>-1858689</v>
      </c>
      <c r="E28" s="15">
        <v>-2213105</v>
      </c>
      <c r="F28" s="15"/>
      <c r="G28" s="15">
        <f t="shared" si="1"/>
        <v>-2213105</v>
      </c>
      <c r="H28" s="10" t="s">
        <v>10</v>
      </c>
      <c r="I28" s="10" t="s">
        <v>901</v>
      </c>
      <c r="J28" s="10" t="s">
        <v>39</v>
      </c>
      <c r="K28" s="10" t="s">
        <v>40</v>
      </c>
      <c r="L28" s="10" t="s">
        <v>23</v>
      </c>
      <c r="M28" s="10" t="s">
        <v>42</v>
      </c>
    </row>
    <row r="29" spans="1:13" ht="15" customHeight="1" x14ac:dyDescent="0.25">
      <c r="A29" s="10">
        <v>1026</v>
      </c>
      <c r="B29" s="15">
        <v>11823412</v>
      </c>
      <c r="C29" s="10"/>
      <c r="D29" s="15">
        <f t="shared" si="0"/>
        <v>11823412</v>
      </c>
      <c r="E29" s="15">
        <v>10989436</v>
      </c>
      <c r="F29" s="15"/>
      <c r="G29" s="15">
        <f t="shared" si="1"/>
        <v>10989436</v>
      </c>
      <c r="H29" s="10" t="s">
        <v>10</v>
      </c>
      <c r="I29" s="10" t="s">
        <v>901</v>
      </c>
      <c r="J29" s="10" t="s">
        <v>39</v>
      </c>
      <c r="K29" s="10" t="s">
        <v>45</v>
      </c>
      <c r="L29" s="10" t="s">
        <v>46</v>
      </c>
      <c r="M29" s="10" t="s">
        <v>42</v>
      </c>
    </row>
    <row r="30" spans="1:13" ht="15" customHeight="1" x14ac:dyDescent="0.25">
      <c r="A30" s="10">
        <v>1027</v>
      </c>
      <c r="B30" s="15">
        <v>23577345</v>
      </c>
      <c r="C30" s="10"/>
      <c r="D30" s="15">
        <f t="shared" si="0"/>
        <v>23577345</v>
      </c>
      <c r="E30" s="15">
        <v>21851000</v>
      </c>
      <c r="F30" s="15"/>
      <c r="G30" s="15">
        <f t="shared" si="1"/>
        <v>21851000</v>
      </c>
      <c r="H30" s="10" t="s">
        <v>10</v>
      </c>
      <c r="I30" s="10" t="s">
        <v>901</v>
      </c>
      <c r="J30" s="10" t="s">
        <v>39</v>
      </c>
      <c r="K30" s="10" t="s">
        <v>45</v>
      </c>
      <c r="L30" s="10" t="s">
        <v>47</v>
      </c>
      <c r="M30" s="10" t="s">
        <v>42</v>
      </c>
    </row>
    <row r="31" spans="1:13" ht="15" customHeight="1" x14ac:dyDescent="0.25">
      <c r="A31" s="10">
        <v>1028</v>
      </c>
      <c r="B31" s="15">
        <v>3076497</v>
      </c>
      <c r="C31" s="10"/>
      <c r="D31" s="15">
        <f t="shared" si="0"/>
        <v>3076497</v>
      </c>
      <c r="E31" s="15">
        <v>1602020</v>
      </c>
      <c r="F31" s="15"/>
      <c r="G31" s="15">
        <f t="shared" si="1"/>
        <v>1602020</v>
      </c>
      <c r="H31" s="10" t="s">
        <v>10</v>
      </c>
      <c r="I31" s="10" t="s">
        <v>901</v>
      </c>
      <c r="J31" s="10" t="s">
        <v>39</v>
      </c>
      <c r="K31" s="10" t="s">
        <v>45</v>
      </c>
      <c r="L31" s="10" t="s">
        <v>48</v>
      </c>
      <c r="M31" s="10" t="s">
        <v>42</v>
      </c>
    </row>
    <row r="32" spans="1:13" ht="15" customHeight="1" x14ac:dyDescent="0.25">
      <c r="A32" s="10">
        <v>1029</v>
      </c>
      <c r="B32" s="15">
        <v>879897</v>
      </c>
      <c r="C32" s="10"/>
      <c r="D32" s="15">
        <f t="shared" si="0"/>
        <v>879897</v>
      </c>
      <c r="E32" s="15">
        <v>837936</v>
      </c>
      <c r="F32" s="15"/>
      <c r="G32" s="15">
        <f t="shared" si="1"/>
        <v>837936</v>
      </c>
      <c r="H32" s="10" t="s">
        <v>10</v>
      </c>
      <c r="I32" s="10" t="s">
        <v>901</v>
      </c>
      <c r="J32" s="10" t="s">
        <v>39</v>
      </c>
      <c r="K32" s="10" t="s">
        <v>45</v>
      </c>
      <c r="L32" s="10" t="s">
        <v>49</v>
      </c>
      <c r="M32" s="10" t="s">
        <v>42</v>
      </c>
    </row>
    <row r="33" spans="1:13" ht="15" customHeight="1" x14ac:dyDescent="0.25">
      <c r="A33" s="10">
        <v>1030</v>
      </c>
      <c r="B33" s="15">
        <v>305241</v>
      </c>
      <c r="C33" s="10"/>
      <c r="D33" s="15">
        <f t="shared" si="0"/>
        <v>305241</v>
      </c>
      <c r="E33" s="15">
        <v>298069</v>
      </c>
      <c r="F33" s="15"/>
      <c r="G33" s="15">
        <f t="shared" si="1"/>
        <v>298069</v>
      </c>
      <c r="H33" s="10" t="s">
        <v>10</v>
      </c>
      <c r="I33" s="10" t="s">
        <v>901</v>
      </c>
      <c r="J33" s="10" t="s">
        <v>39</v>
      </c>
      <c r="K33" s="10" t="s">
        <v>45</v>
      </c>
      <c r="L33" s="10" t="s">
        <v>44</v>
      </c>
      <c r="M33" s="10" t="s">
        <v>42</v>
      </c>
    </row>
    <row r="34" spans="1:13" ht="15" customHeight="1" x14ac:dyDescent="0.25">
      <c r="A34" s="10">
        <v>1031</v>
      </c>
      <c r="B34" s="15">
        <v>-308752</v>
      </c>
      <c r="C34" s="10"/>
      <c r="D34" s="15">
        <f t="shared" si="0"/>
        <v>-308752</v>
      </c>
      <c r="E34" s="15">
        <v>-315902</v>
      </c>
      <c r="F34" s="15"/>
      <c r="G34" s="15">
        <f t="shared" si="1"/>
        <v>-315902</v>
      </c>
      <c r="H34" s="10" t="s">
        <v>10</v>
      </c>
      <c r="I34" s="10" t="s">
        <v>901</v>
      </c>
      <c r="J34" s="10" t="s">
        <v>39</v>
      </c>
      <c r="K34" s="10" t="s">
        <v>45</v>
      </c>
      <c r="L34" s="10" t="s">
        <v>23</v>
      </c>
      <c r="M34" s="10" t="s">
        <v>42</v>
      </c>
    </row>
    <row r="35" spans="1:13" ht="15" customHeight="1" x14ac:dyDescent="0.25">
      <c r="A35" s="10">
        <v>1032</v>
      </c>
      <c r="B35" s="15">
        <v>126253</v>
      </c>
      <c r="C35" s="10"/>
      <c r="D35" s="15">
        <f t="shared" si="0"/>
        <v>126253</v>
      </c>
      <c r="E35" s="15">
        <v>139970</v>
      </c>
      <c r="F35" s="15"/>
      <c r="G35" s="15">
        <f t="shared" si="1"/>
        <v>139970</v>
      </c>
      <c r="H35" s="10" t="s">
        <v>10</v>
      </c>
      <c r="I35" s="10" t="s">
        <v>901</v>
      </c>
      <c r="J35" s="10" t="s">
        <v>50</v>
      </c>
      <c r="K35" s="10" t="s">
        <v>51</v>
      </c>
      <c r="L35" s="10"/>
      <c r="M35" s="10" t="s">
        <v>52</v>
      </c>
    </row>
    <row r="36" spans="1:13" ht="15" customHeight="1" x14ac:dyDescent="0.25">
      <c r="A36" s="10">
        <v>1033</v>
      </c>
      <c r="B36" s="15">
        <v>-253</v>
      </c>
      <c r="C36" s="10"/>
      <c r="D36" s="15">
        <f t="shared" si="0"/>
        <v>-253</v>
      </c>
      <c r="E36" s="15">
        <v>-253</v>
      </c>
      <c r="F36" s="15"/>
      <c r="G36" s="15">
        <f t="shared" si="1"/>
        <v>-253</v>
      </c>
      <c r="H36" s="10" t="s">
        <v>10</v>
      </c>
      <c r="I36" s="10" t="s">
        <v>901</v>
      </c>
      <c r="J36" s="10" t="s">
        <v>50</v>
      </c>
      <c r="K36" s="10" t="s">
        <v>53</v>
      </c>
      <c r="L36" s="10"/>
      <c r="M36" s="10" t="s">
        <v>52</v>
      </c>
    </row>
    <row r="37" spans="1:13" ht="15" customHeight="1" x14ac:dyDescent="0.25">
      <c r="A37" s="10">
        <v>1034</v>
      </c>
      <c r="B37" s="15">
        <v>430562</v>
      </c>
      <c r="C37" s="10"/>
      <c r="D37" s="15">
        <f t="shared" si="0"/>
        <v>430562</v>
      </c>
      <c r="E37" s="15">
        <v>224595</v>
      </c>
      <c r="F37" s="15"/>
      <c r="G37" s="15">
        <f t="shared" si="1"/>
        <v>224595</v>
      </c>
      <c r="H37" s="10" t="s">
        <v>10</v>
      </c>
      <c r="I37" s="10" t="s">
        <v>901</v>
      </c>
      <c r="J37" s="10" t="s">
        <v>54</v>
      </c>
      <c r="K37" s="10" t="s">
        <v>55</v>
      </c>
      <c r="L37" s="10"/>
      <c r="M37" s="10" t="s">
        <v>56</v>
      </c>
    </row>
    <row r="38" spans="1:13" ht="15" customHeight="1" x14ac:dyDescent="0.25">
      <c r="A38" s="10">
        <v>1035</v>
      </c>
      <c r="B38" s="15">
        <v>75760</v>
      </c>
      <c r="C38" s="10"/>
      <c r="D38" s="15">
        <f t="shared" si="0"/>
        <v>75760</v>
      </c>
      <c r="E38" s="15">
        <v>2028</v>
      </c>
      <c r="F38" s="15"/>
      <c r="G38" s="15">
        <f t="shared" si="1"/>
        <v>2028</v>
      </c>
      <c r="H38" s="10" t="s">
        <v>10</v>
      </c>
      <c r="I38" s="10" t="s">
        <v>901</v>
      </c>
      <c r="J38" s="10" t="s">
        <v>54</v>
      </c>
      <c r="K38" s="10" t="s">
        <v>57</v>
      </c>
      <c r="L38" s="10"/>
      <c r="M38" s="10" t="s">
        <v>56</v>
      </c>
    </row>
    <row r="39" spans="1:13" ht="15" customHeight="1" x14ac:dyDescent="0.25">
      <c r="A39" s="10">
        <v>1036</v>
      </c>
      <c r="B39" s="15">
        <v>45845</v>
      </c>
      <c r="C39" s="10"/>
      <c r="D39" s="15">
        <f t="shared" si="0"/>
        <v>45845</v>
      </c>
      <c r="E39" s="15">
        <v>77199</v>
      </c>
      <c r="F39" s="15"/>
      <c r="G39" s="15">
        <f t="shared" si="1"/>
        <v>77199</v>
      </c>
      <c r="H39" s="10" t="s">
        <v>10</v>
      </c>
      <c r="I39" s="10" t="s">
        <v>901</v>
      </c>
      <c r="J39" s="10" t="s">
        <v>54</v>
      </c>
      <c r="K39" s="10" t="s">
        <v>58</v>
      </c>
      <c r="L39" s="10"/>
      <c r="M39" s="10" t="s">
        <v>56</v>
      </c>
    </row>
    <row r="40" spans="1:13" ht="15" customHeight="1" x14ac:dyDescent="0.25">
      <c r="A40" s="10">
        <v>1037</v>
      </c>
      <c r="B40" s="15">
        <v>374857</v>
      </c>
      <c r="C40" s="10"/>
      <c r="D40" s="15">
        <f t="shared" si="0"/>
        <v>374857</v>
      </c>
      <c r="E40" s="15">
        <v>341874</v>
      </c>
      <c r="F40" s="15"/>
      <c r="G40" s="15">
        <f t="shared" si="1"/>
        <v>341874</v>
      </c>
      <c r="H40" s="10" t="s">
        <v>10</v>
      </c>
      <c r="I40" s="10" t="s">
        <v>901</v>
      </c>
      <c r="J40" s="10" t="s">
        <v>54</v>
      </c>
      <c r="K40" s="10" t="s">
        <v>59</v>
      </c>
      <c r="L40" s="10"/>
      <c r="M40" s="10" t="s">
        <v>56</v>
      </c>
    </row>
    <row r="41" spans="1:13" ht="15" customHeight="1" x14ac:dyDescent="0.25">
      <c r="A41" s="10">
        <v>1038</v>
      </c>
      <c r="B41" s="15">
        <v>336713</v>
      </c>
      <c r="C41" s="10"/>
      <c r="D41" s="15">
        <f t="shared" si="0"/>
        <v>336713</v>
      </c>
      <c r="E41" s="15">
        <v>323716</v>
      </c>
      <c r="F41" s="15"/>
      <c r="G41" s="15">
        <f t="shared" si="1"/>
        <v>323716</v>
      </c>
      <c r="H41" s="10" t="s">
        <v>10</v>
      </c>
      <c r="I41" s="10" t="s">
        <v>901</v>
      </c>
      <c r="J41" s="10" t="s">
        <v>60</v>
      </c>
      <c r="K41" s="10" t="s">
        <v>61</v>
      </c>
      <c r="L41" s="10"/>
      <c r="M41" s="10" t="s">
        <v>62</v>
      </c>
    </row>
    <row r="42" spans="1:13" ht="15" customHeight="1" x14ac:dyDescent="0.25">
      <c r="A42" s="10">
        <v>1039</v>
      </c>
      <c r="B42" s="15">
        <v>893312</v>
      </c>
      <c r="C42" s="10"/>
      <c r="D42" s="15">
        <f t="shared" si="0"/>
        <v>893312</v>
      </c>
      <c r="E42" s="15">
        <v>758346</v>
      </c>
      <c r="F42" s="15"/>
      <c r="G42" s="15">
        <f t="shared" si="1"/>
        <v>758346</v>
      </c>
      <c r="H42" s="10" t="s">
        <v>10</v>
      </c>
      <c r="I42" s="10" t="s">
        <v>901</v>
      </c>
      <c r="J42" s="10" t="s">
        <v>63</v>
      </c>
      <c r="K42" s="10" t="s">
        <v>64</v>
      </c>
      <c r="L42" s="10"/>
      <c r="M42" s="10" t="s">
        <v>65</v>
      </c>
    </row>
    <row r="43" spans="1:13" ht="15" customHeight="1" x14ac:dyDescent="0.25">
      <c r="A43" s="10">
        <v>1040</v>
      </c>
      <c r="B43" s="15">
        <v>215519</v>
      </c>
      <c r="C43" s="10"/>
      <c r="D43" s="15">
        <f t="shared" si="0"/>
        <v>215519</v>
      </c>
      <c r="E43" s="15">
        <v>206953</v>
      </c>
      <c r="F43" s="15"/>
      <c r="G43" s="15">
        <f t="shared" si="1"/>
        <v>206953</v>
      </c>
      <c r="H43" s="10" t="s">
        <v>10</v>
      </c>
      <c r="I43" s="10" t="s">
        <v>901</v>
      </c>
      <c r="J43" s="10" t="s">
        <v>63</v>
      </c>
      <c r="K43" s="10" t="s">
        <v>66</v>
      </c>
      <c r="L43" s="10"/>
      <c r="M43" s="10" t="s">
        <v>67</v>
      </c>
    </row>
    <row r="44" spans="1:13" ht="15" customHeight="1" x14ac:dyDescent="0.25">
      <c r="A44" s="10">
        <v>1041</v>
      </c>
      <c r="B44" s="15">
        <v>414194</v>
      </c>
      <c r="C44" s="10"/>
      <c r="D44" s="15">
        <f t="shared" si="0"/>
        <v>414194</v>
      </c>
      <c r="E44" s="15">
        <v>292777</v>
      </c>
      <c r="F44" s="15"/>
      <c r="G44" s="15">
        <f t="shared" si="1"/>
        <v>292777</v>
      </c>
      <c r="H44" s="10" t="s">
        <v>10</v>
      </c>
      <c r="I44" s="10" t="s">
        <v>901</v>
      </c>
      <c r="J44" s="10" t="s">
        <v>63</v>
      </c>
      <c r="K44" s="10" t="s">
        <v>68</v>
      </c>
      <c r="L44" s="10"/>
      <c r="M44" s="10" t="s">
        <v>69</v>
      </c>
    </row>
    <row r="45" spans="1:13" ht="15" customHeight="1" x14ac:dyDescent="0.25">
      <c r="A45" s="10">
        <v>1042</v>
      </c>
      <c r="B45" s="15">
        <v>73448</v>
      </c>
      <c r="C45" s="10"/>
      <c r="D45" s="15">
        <f t="shared" si="0"/>
        <v>73448</v>
      </c>
      <c r="E45" s="15">
        <v>95051</v>
      </c>
      <c r="F45" s="15"/>
      <c r="G45" s="15">
        <f t="shared" si="1"/>
        <v>95051</v>
      </c>
      <c r="H45" s="10" t="s">
        <v>10</v>
      </c>
      <c r="I45" s="10" t="s">
        <v>901</v>
      </c>
      <c r="J45" s="10" t="s">
        <v>70</v>
      </c>
      <c r="K45" s="10" t="s">
        <v>71</v>
      </c>
      <c r="L45" s="10"/>
      <c r="M45" s="10" t="s">
        <v>72</v>
      </c>
    </row>
    <row r="46" spans="1:13" ht="15" customHeight="1" x14ac:dyDescent="0.25">
      <c r="A46" s="10">
        <v>1043</v>
      </c>
      <c r="B46" s="15">
        <v>22735</v>
      </c>
      <c r="C46" s="10"/>
      <c r="D46" s="15">
        <f t="shared" si="0"/>
        <v>22735</v>
      </c>
      <c r="E46" s="15">
        <v>56686</v>
      </c>
      <c r="F46" s="15"/>
      <c r="G46" s="15">
        <f t="shared" si="1"/>
        <v>56686</v>
      </c>
      <c r="H46" s="10" t="s">
        <v>10</v>
      </c>
      <c r="I46" s="10" t="s">
        <v>901</v>
      </c>
      <c r="J46" s="10" t="s">
        <v>70</v>
      </c>
      <c r="K46" s="10" t="s">
        <v>73</v>
      </c>
      <c r="L46" s="10"/>
      <c r="M46" s="10" t="s">
        <v>72</v>
      </c>
    </row>
    <row r="47" spans="1:13" ht="15" customHeight="1" x14ac:dyDescent="0.25">
      <c r="A47" s="10">
        <v>1044</v>
      </c>
      <c r="B47" s="15">
        <v>-340077</v>
      </c>
      <c r="C47" s="15"/>
      <c r="D47" s="15">
        <f t="shared" si="0"/>
        <v>-340077</v>
      </c>
      <c r="E47" s="15">
        <v>-296103</v>
      </c>
      <c r="F47" s="15"/>
      <c r="G47" s="15">
        <f t="shared" si="1"/>
        <v>-296103</v>
      </c>
      <c r="H47" s="10" t="s">
        <v>74</v>
      </c>
      <c r="I47" s="10" t="s">
        <v>902</v>
      </c>
      <c r="J47" s="10" t="s">
        <v>75</v>
      </c>
      <c r="K47" s="10" t="s">
        <v>18</v>
      </c>
      <c r="L47" s="10"/>
      <c r="M47" s="10" t="s">
        <v>76</v>
      </c>
    </row>
    <row r="48" spans="1:13" ht="15" customHeight="1" x14ac:dyDescent="0.25">
      <c r="A48" s="10">
        <v>1045</v>
      </c>
      <c r="B48" s="15">
        <v>-17932704</v>
      </c>
      <c r="C48" s="15"/>
      <c r="D48" s="15">
        <f t="shared" si="0"/>
        <v>-17932704</v>
      </c>
      <c r="E48" s="15">
        <v>-8440523</v>
      </c>
      <c r="F48" s="15"/>
      <c r="G48" s="15">
        <f t="shared" si="1"/>
        <v>-8440523</v>
      </c>
      <c r="H48" s="10" t="s">
        <v>74</v>
      </c>
      <c r="I48" s="10" t="s">
        <v>902</v>
      </c>
      <c r="J48" s="10" t="s">
        <v>75</v>
      </c>
      <c r="K48" s="10" t="s">
        <v>77</v>
      </c>
      <c r="L48" s="10"/>
      <c r="M48" s="10" t="s">
        <v>76</v>
      </c>
    </row>
    <row r="49" spans="1:13" ht="15" customHeight="1" x14ac:dyDescent="0.25">
      <c r="A49" s="10">
        <v>1046</v>
      </c>
      <c r="B49" s="15">
        <v>-5639449</v>
      </c>
      <c r="C49" s="15"/>
      <c r="D49" s="15">
        <f t="shared" si="0"/>
        <v>-5639449</v>
      </c>
      <c r="E49" s="15">
        <v>-10572707</v>
      </c>
      <c r="F49" s="15"/>
      <c r="G49" s="15">
        <f t="shared" si="1"/>
        <v>-10572707</v>
      </c>
      <c r="H49" s="10" t="s">
        <v>74</v>
      </c>
      <c r="I49" s="10" t="s">
        <v>902</v>
      </c>
      <c r="J49" s="10" t="s">
        <v>75</v>
      </c>
      <c r="K49" s="10" t="s">
        <v>78</v>
      </c>
      <c r="L49" s="10"/>
      <c r="M49" s="10" t="s">
        <v>76</v>
      </c>
    </row>
    <row r="50" spans="1:13" ht="15" customHeight="1" x14ac:dyDescent="0.25">
      <c r="A50" s="10">
        <v>1047</v>
      </c>
      <c r="B50" s="15">
        <v>-32046487</v>
      </c>
      <c r="C50" s="15"/>
      <c r="D50" s="15">
        <f t="shared" si="0"/>
        <v>-32046487</v>
      </c>
      <c r="E50" s="15">
        <v>-34564643</v>
      </c>
      <c r="F50" s="15"/>
      <c r="G50" s="15">
        <f t="shared" si="1"/>
        <v>-34564643</v>
      </c>
      <c r="H50" s="10" t="s">
        <v>74</v>
      </c>
      <c r="I50" s="10" t="s">
        <v>902</v>
      </c>
      <c r="J50" s="10" t="s">
        <v>79</v>
      </c>
      <c r="K50" s="10" t="s">
        <v>80</v>
      </c>
      <c r="L50" s="10"/>
      <c r="M50" s="10" t="s">
        <v>0</v>
      </c>
    </row>
    <row r="51" spans="1:13" ht="15" customHeight="1" x14ac:dyDescent="0.25">
      <c r="A51" s="10">
        <v>1048</v>
      </c>
      <c r="B51" s="15">
        <v>-13654158</v>
      </c>
      <c r="C51" s="15"/>
      <c r="D51" s="15">
        <f t="shared" si="0"/>
        <v>-13654158</v>
      </c>
      <c r="E51" s="15">
        <v>-11114104</v>
      </c>
      <c r="F51" s="15"/>
      <c r="G51" s="15">
        <f t="shared" si="1"/>
        <v>-11114104</v>
      </c>
      <c r="H51" s="10" t="s">
        <v>74</v>
      </c>
      <c r="I51" s="10" t="s">
        <v>902</v>
      </c>
      <c r="J51" s="10" t="s">
        <v>79</v>
      </c>
      <c r="K51" s="10" t="s">
        <v>81</v>
      </c>
      <c r="L51" s="10"/>
      <c r="M51" s="10" t="s">
        <v>0</v>
      </c>
    </row>
    <row r="52" spans="1:13" ht="15" customHeight="1" x14ac:dyDescent="0.25">
      <c r="A52" s="10">
        <v>1049</v>
      </c>
      <c r="B52" s="15">
        <v>-67398888</v>
      </c>
      <c r="C52" s="15"/>
      <c r="D52" s="15">
        <f t="shared" si="0"/>
        <v>-67398888</v>
      </c>
      <c r="E52" s="15">
        <v>-60193863</v>
      </c>
      <c r="F52" s="15"/>
      <c r="G52" s="15">
        <f t="shared" si="1"/>
        <v>-60193863</v>
      </c>
      <c r="H52" s="10" t="s">
        <v>74</v>
      </c>
      <c r="I52" s="10" t="s">
        <v>902</v>
      </c>
      <c r="J52" s="10" t="s">
        <v>79</v>
      </c>
      <c r="K52" s="10" t="s">
        <v>82</v>
      </c>
      <c r="L52" s="10"/>
      <c r="M52" s="10" t="s">
        <v>0</v>
      </c>
    </row>
    <row r="53" spans="1:13" ht="15" customHeight="1" x14ac:dyDescent="0.25">
      <c r="A53" s="10">
        <v>1050</v>
      </c>
      <c r="B53" s="15">
        <v>-2295782</v>
      </c>
      <c r="C53" s="15"/>
      <c r="D53" s="15">
        <f t="shared" si="0"/>
        <v>-2295782</v>
      </c>
      <c r="E53" s="15">
        <v>-2313904</v>
      </c>
      <c r="F53" s="15"/>
      <c r="G53" s="15">
        <f t="shared" si="1"/>
        <v>-2313904</v>
      </c>
      <c r="H53" s="10" t="s">
        <v>74</v>
      </c>
      <c r="I53" s="10" t="s">
        <v>902</v>
      </c>
      <c r="J53" s="10" t="s">
        <v>79</v>
      </c>
      <c r="K53" s="10" t="s">
        <v>83</v>
      </c>
      <c r="L53" s="10"/>
      <c r="M53" s="10" t="s">
        <v>0</v>
      </c>
    </row>
    <row r="54" spans="1:13" ht="15" customHeight="1" x14ac:dyDescent="0.25">
      <c r="A54" s="10">
        <v>1051</v>
      </c>
      <c r="B54" s="15">
        <v>-2007489</v>
      </c>
      <c r="C54" s="15"/>
      <c r="D54" s="15">
        <f t="shared" si="0"/>
        <v>-2007489</v>
      </c>
      <c r="E54" s="15">
        <v>-2005918</v>
      </c>
      <c r="F54" s="15"/>
      <c r="G54" s="15">
        <f t="shared" si="1"/>
        <v>-2005918</v>
      </c>
      <c r="H54" s="10" t="s">
        <v>74</v>
      </c>
      <c r="I54" s="10" t="s">
        <v>902</v>
      </c>
      <c r="J54" s="10" t="s">
        <v>84</v>
      </c>
      <c r="K54" s="10" t="s">
        <v>85</v>
      </c>
      <c r="L54" s="10"/>
      <c r="M54" s="10" t="s">
        <v>86</v>
      </c>
    </row>
    <row r="55" spans="1:13" ht="15" customHeight="1" x14ac:dyDescent="0.25">
      <c r="A55" s="10">
        <v>1052</v>
      </c>
      <c r="B55" s="15">
        <v>-882890</v>
      </c>
      <c r="C55" s="15"/>
      <c r="D55" s="15">
        <f t="shared" si="0"/>
        <v>-882890</v>
      </c>
      <c r="E55" s="15">
        <v>-678982</v>
      </c>
      <c r="F55" s="15"/>
      <c r="G55" s="15">
        <f t="shared" si="1"/>
        <v>-678982</v>
      </c>
      <c r="H55" s="10" t="s">
        <v>74</v>
      </c>
      <c r="I55" s="10" t="s">
        <v>902</v>
      </c>
      <c r="J55" s="10" t="s">
        <v>87</v>
      </c>
      <c r="K55" s="10" t="s">
        <v>88</v>
      </c>
      <c r="L55" s="10"/>
      <c r="M55" s="10" t="s">
        <v>89</v>
      </c>
    </row>
    <row r="56" spans="1:13" ht="15" customHeight="1" x14ac:dyDescent="0.25">
      <c r="A56" s="10">
        <v>1053</v>
      </c>
      <c r="B56" s="15">
        <v>-340436</v>
      </c>
      <c r="C56" s="15"/>
      <c r="D56" s="15">
        <f t="shared" si="0"/>
        <v>-340436</v>
      </c>
      <c r="E56" s="15">
        <v>-309433</v>
      </c>
      <c r="F56" s="15"/>
      <c r="G56" s="15">
        <f t="shared" si="1"/>
        <v>-309433</v>
      </c>
      <c r="H56" s="10" t="s">
        <v>74</v>
      </c>
      <c r="I56" s="10" t="s">
        <v>902</v>
      </c>
      <c r="J56" s="10" t="s">
        <v>87</v>
      </c>
      <c r="K56" s="10" t="s">
        <v>90</v>
      </c>
      <c r="L56" s="10"/>
      <c r="M56" s="10" t="s">
        <v>91</v>
      </c>
    </row>
    <row r="57" spans="1:13" ht="15" customHeight="1" x14ac:dyDescent="0.25">
      <c r="A57" s="10">
        <v>1054</v>
      </c>
      <c r="B57" s="15">
        <v>-203537</v>
      </c>
      <c r="C57" s="15"/>
      <c r="D57" s="15">
        <f t="shared" si="0"/>
        <v>-203537</v>
      </c>
      <c r="E57" s="15">
        <v>-177821</v>
      </c>
      <c r="F57" s="15"/>
      <c r="G57" s="15">
        <f t="shared" si="1"/>
        <v>-177821</v>
      </c>
      <c r="H57" s="10" t="s">
        <v>74</v>
      </c>
      <c r="I57" s="10" t="s">
        <v>902</v>
      </c>
      <c r="J57" s="10" t="s">
        <v>87</v>
      </c>
      <c r="K57" s="10" t="s">
        <v>92</v>
      </c>
      <c r="L57" s="10"/>
      <c r="M57" s="10" t="s">
        <v>93</v>
      </c>
    </row>
    <row r="58" spans="1:13" ht="15" customHeight="1" x14ac:dyDescent="0.25">
      <c r="A58" s="10">
        <v>1055</v>
      </c>
      <c r="B58" s="15">
        <v>-323358</v>
      </c>
      <c r="C58" s="15"/>
      <c r="D58" s="15">
        <f t="shared" si="0"/>
        <v>-323358</v>
      </c>
      <c r="E58" s="15">
        <v>-351252</v>
      </c>
      <c r="F58" s="15"/>
      <c r="G58" s="15">
        <f t="shared" si="1"/>
        <v>-351252</v>
      </c>
      <c r="H58" s="10" t="s">
        <v>74</v>
      </c>
      <c r="I58" s="10" t="s">
        <v>902</v>
      </c>
      <c r="J58" s="10" t="s">
        <v>87</v>
      </c>
      <c r="K58" s="10" t="s">
        <v>94</v>
      </c>
      <c r="L58" s="10"/>
      <c r="M58" s="10" t="s">
        <v>95</v>
      </c>
    </row>
    <row r="59" spans="1:13" ht="15" customHeight="1" x14ac:dyDescent="0.25">
      <c r="A59" s="10">
        <v>1056</v>
      </c>
      <c r="B59" s="15">
        <v>-48282</v>
      </c>
      <c r="C59" s="15"/>
      <c r="D59" s="15">
        <f t="shared" si="0"/>
        <v>-48282</v>
      </c>
      <c r="E59" s="15">
        <v>-62934</v>
      </c>
      <c r="F59" s="15"/>
      <c r="G59" s="15">
        <f t="shared" si="1"/>
        <v>-62934</v>
      </c>
      <c r="H59" s="10" t="s">
        <v>74</v>
      </c>
      <c r="I59" s="10" t="s">
        <v>902</v>
      </c>
      <c r="J59" s="10" t="s">
        <v>87</v>
      </c>
      <c r="K59" s="10" t="s">
        <v>96</v>
      </c>
      <c r="L59" s="10"/>
      <c r="M59" s="10" t="s">
        <v>89</v>
      </c>
    </row>
    <row r="60" spans="1:13" ht="15" customHeight="1" x14ac:dyDescent="0.25">
      <c r="A60" s="10">
        <v>1057</v>
      </c>
      <c r="B60" s="15">
        <v>-8989</v>
      </c>
      <c r="C60" s="15"/>
      <c r="D60" s="15">
        <f t="shared" si="0"/>
        <v>-8989</v>
      </c>
      <c r="E60" s="15">
        <v>-4953</v>
      </c>
      <c r="F60" s="15"/>
      <c r="G60" s="15">
        <f t="shared" si="1"/>
        <v>-4953</v>
      </c>
      <c r="H60" s="10" t="s">
        <v>74</v>
      </c>
      <c r="I60" s="10" t="s">
        <v>902</v>
      </c>
      <c r="J60" s="10" t="s">
        <v>87</v>
      </c>
      <c r="K60" s="10" t="s">
        <v>97</v>
      </c>
      <c r="L60" s="10"/>
      <c r="M60" s="10" t="s">
        <v>98</v>
      </c>
    </row>
    <row r="61" spans="1:13" ht="15" customHeight="1" x14ac:dyDescent="0.25">
      <c r="A61" s="10">
        <v>1058</v>
      </c>
      <c r="B61" s="15">
        <v>-845712</v>
      </c>
      <c r="C61" s="15"/>
      <c r="D61" s="15">
        <f t="shared" si="0"/>
        <v>-845712</v>
      </c>
      <c r="E61" s="15">
        <v>-452232</v>
      </c>
      <c r="F61" s="15"/>
      <c r="G61" s="15">
        <f t="shared" si="1"/>
        <v>-452232</v>
      </c>
      <c r="H61" s="10" t="s">
        <v>74</v>
      </c>
      <c r="I61" s="10" t="s">
        <v>902</v>
      </c>
      <c r="J61" s="10" t="s">
        <v>87</v>
      </c>
      <c r="K61" s="10" t="s">
        <v>59</v>
      </c>
      <c r="L61" s="10"/>
      <c r="M61" s="10" t="s">
        <v>89</v>
      </c>
    </row>
    <row r="62" spans="1:13" ht="15" customHeight="1" x14ac:dyDescent="0.25">
      <c r="A62" s="10">
        <v>1059</v>
      </c>
      <c r="B62" s="15">
        <v>-55917</v>
      </c>
      <c r="C62" s="15"/>
      <c r="D62" s="15">
        <f t="shared" si="0"/>
        <v>-55917</v>
      </c>
      <c r="E62" s="15">
        <v>-90425</v>
      </c>
      <c r="F62" s="15"/>
      <c r="G62" s="15">
        <f t="shared" si="1"/>
        <v>-90425</v>
      </c>
      <c r="H62" s="10" t="s">
        <v>74</v>
      </c>
      <c r="I62" s="10" t="s">
        <v>902</v>
      </c>
      <c r="J62" s="10" t="s">
        <v>99</v>
      </c>
      <c r="K62" s="10" t="s">
        <v>71</v>
      </c>
      <c r="L62" s="10"/>
      <c r="M62" s="10" t="s">
        <v>72</v>
      </c>
    </row>
    <row r="63" spans="1:13" ht="15" customHeight="1" x14ac:dyDescent="0.25">
      <c r="A63" s="10">
        <v>1060</v>
      </c>
      <c r="B63" s="15">
        <v>-124990</v>
      </c>
      <c r="C63" s="15"/>
      <c r="D63" s="15">
        <f t="shared" si="0"/>
        <v>-124990</v>
      </c>
      <c r="E63" s="15">
        <v>-74574</v>
      </c>
      <c r="F63" s="15"/>
      <c r="G63" s="15">
        <f t="shared" si="1"/>
        <v>-74574</v>
      </c>
      <c r="H63" s="10" t="s">
        <v>74</v>
      </c>
      <c r="I63" s="10" t="s">
        <v>902</v>
      </c>
      <c r="J63" s="10" t="s">
        <v>99</v>
      </c>
      <c r="K63" s="10" t="s">
        <v>73</v>
      </c>
      <c r="L63" s="10"/>
      <c r="M63" s="10" t="s">
        <v>72</v>
      </c>
    </row>
    <row r="64" spans="1:13" ht="15" customHeight="1" x14ac:dyDescent="0.25">
      <c r="A64" s="10">
        <v>1061</v>
      </c>
      <c r="B64" s="15">
        <v>-12812500</v>
      </c>
      <c r="C64" s="10"/>
      <c r="D64" s="15">
        <f t="shared" si="0"/>
        <v>-12812500</v>
      </c>
      <c r="E64" s="15">
        <v>-10250000</v>
      </c>
      <c r="F64" s="15"/>
      <c r="G64" s="15">
        <f t="shared" si="1"/>
        <v>-10250000</v>
      </c>
      <c r="H64" s="10" t="s">
        <v>100</v>
      </c>
      <c r="I64" s="10" t="s">
        <v>100</v>
      </c>
      <c r="J64" s="10" t="s">
        <v>101</v>
      </c>
      <c r="K64" s="10" t="s">
        <v>102</v>
      </c>
      <c r="L64" s="10"/>
      <c r="M64" s="10" t="s">
        <v>103</v>
      </c>
    </row>
    <row r="65" spans="1:13" ht="15" customHeight="1" x14ac:dyDescent="0.25">
      <c r="A65" s="10">
        <v>1062</v>
      </c>
      <c r="B65" s="15">
        <v>40351</v>
      </c>
      <c r="C65" s="15"/>
      <c r="D65" s="15">
        <f t="shared" si="0"/>
        <v>40351</v>
      </c>
      <c r="E65" s="15">
        <v>-38319</v>
      </c>
      <c r="F65" s="15"/>
      <c r="G65" s="15">
        <f t="shared" si="1"/>
        <v>-38319</v>
      </c>
      <c r="H65" s="10" t="s">
        <v>100</v>
      </c>
      <c r="I65" s="10" t="s">
        <v>100</v>
      </c>
      <c r="J65" s="10" t="s">
        <v>104</v>
      </c>
      <c r="K65" s="10" t="s">
        <v>105</v>
      </c>
      <c r="L65" s="10"/>
      <c r="M65" s="10" t="s">
        <v>106</v>
      </c>
    </row>
    <row r="66" spans="1:13" ht="15" customHeight="1" x14ac:dyDescent="0.25">
      <c r="A66" s="10">
        <v>1063</v>
      </c>
      <c r="B66" s="15">
        <v>869884</v>
      </c>
      <c r="C66" s="15"/>
      <c r="D66" s="15">
        <f t="shared" si="0"/>
        <v>869884</v>
      </c>
      <c r="E66" s="15">
        <v>1187941</v>
      </c>
      <c r="F66" s="15"/>
      <c r="G66" s="15">
        <f t="shared" si="1"/>
        <v>1187941</v>
      </c>
      <c r="H66" s="10" t="s">
        <v>100</v>
      </c>
      <c r="I66" s="10" t="s">
        <v>100</v>
      </c>
      <c r="J66" s="10" t="s">
        <v>104</v>
      </c>
      <c r="K66" s="10" t="s">
        <v>107</v>
      </c>
      <c r="L66" s="10"/>
      <c r="M66" s="10" t="s">
        <v>106</v>
      </c>
    </row>
    <row r="67" spans="1:13" ht="15" customHeight="1" x14ac:dyDescent="0.25">
      <c r="A67" s="10">
        <v>1064</v>
      </c>
      <c r="B67" s="15">
        <v>-276644</v>
      </c>
      <c r="C67" s="15"/>
      <c r="D67" s="15">
        <f t="shared" si="0"/>
        <v>-276644</v>
      </c>
      <c r="E67" s="15">
        <v>-226281</v>
      </c>
      <c r="F67" s="15"/>
      <c r="G67" s="15">
        <f t="shared" si="1"/>
        <v>-226281</v>
      </c>
      <c r="H67" s="10" t="s">
        <v>100</v>
      </c>
      <c r="I67" s="10" t="s">
        <v>100</v>
      </c>
      <c r="J67" s="10" t="s">
        <v>104</v>
      </c>
      <c r="K67" s="10" t="s">
        <v>108</v>
      </c>
      <c r="L67" s="10"/>
      <c r="M67" s="10" t="s">
        <v>106</v>
      </c>
    </row>
    <row r="68" spans="1:13" ht="15" customHeight="1" x14ac:dyDescent="0.25">
      <c r="A68" s="10">
        <v>1065</v>
      </c>
      <c r="B68" s="15">
        <v>-23651</v>
      </c>
      <c r="C68" s="15"/>
      <c r="D68" s="15">
        <f t="shared" ref="D68:D122" si="2">B68+C68</f>
        <v>-23651</v>
      </c>
      <c r="E68" s="15">
        <v>-31691</v>
      </c>
      <c r="F68" s="15"/>
      <c r="G68" s="15">
        <f t="shared" ref="G68:G122" si="3">E68+F68</f>
        <v>-31691</v>
      </c>
      <c r="H68" s="10" t="s">
        <v>100</v>
      </c>
      <c r="I68" s="10" t="s">
        <v>100</v>
      </c>
      <c r="J68" s="10" t="s">
        <v>104</v>
      </c>
      <c r="K68" s="10" t="s">
        <v>109</v>
      </c>
      <c r="L68" s="10"/>
      <c r="M68" s="10" t="s">
        <v>106</v>
      </c>
    </row>
    <row r="69" spans="1:13" ht="15" customHeight="1" x14ac:dyDescent="0.25">
      <c r="A69" s="10">
        <v>1066</v>
      </c>
      <c r="B69" s="15">
        <v>-13685</v>
      </c>
      <c r="C69" s="15"/>
      <c r="D69" s="15">
        <f t="shared" si="2"/>
        <v>-13685</v>
      </c>
      <c r="E69" s="15">
        <v>0</v>
      </c>
      <c r="F69" s="15"/>
      <c r="G69" s="15">
        <f t="shared" si="3"/>
        <v>0</v>
      </c>
      <c r="H69" s="10" t="s">
        <v>100</v>
      </c>
      <c r="I69" s="10" t="s">
        <v>100</v>
      </c>
      <c r="J69" s="10" t="s">
        <v>104</v>
      </c>
      <c r="K69" s="10" t="s">
        <v>110</v>
      </c>
      <c r="L69" s="10"/>
      <c r="M69" s="10" t="s">
        <v>106</v>
      </c>
    </row>
    <row r="70" spans="1:13" ht="15" customHeight="1" x14ac:dyDescent="0.25">
      <c r="A70" s="10">
        <v>1067</v>
      </c>
      <c r="B70" s="15">
        <v>-17492</v>
      </c>
      <c r="C70" s="15"/>
      <c r="D70" s="15">
        <f t="shared" si="2"/>
        <v>-17492</v>
      </c>
      <c r="E70" s="15">
        <v>-10817</v>
      </c>
      <c r="F70" s="15"/>
      <c r="G70" s="15">
        <f t="shared" si="3"/>
        <v>-10817</v>
      </c>
      <c r="H70" s="10" t="s">
        <v>100</v>
      </c>
      <c r="I70" s="10" t="s">
        <v>100</v>
      </c>
      <c r="J70" s="10" t="s">
        <v>104</v>
      </c>
      <c r="K70" s="10" t="s">
        <v>111</v>
      </c>
      <c r="L70" s="10"/>
      <c r="M70" s="10" t="s">
        <v>106</v>
      </c>
    </row>
    <row r="71" spans="1:13" ht="15" customHeight="1" x14ac:dyDescent="0.25">
      <c r="A71" s="10">
        <v>1068</v>
      </c>
      <c r="B71" s="15">
        <v>-2791092</v>
      </c>
      <c r="C71" s="15"/>
      <c r="D71" s="15">
        <f t="shared" si="2"/>
        <v>-2791092</v>
      </c>
      <c r="E71" s="15">
        <v>-4170163</v>
      </c>
      <c r="F71" s="15"/>
      <c r="G71" s="15">
        <f t="shared" si="3"/>
        <v>-4170163</v>
      </c>
      <c r="H71" s="10" t="s">
        <v>100</v>
      </c>
      <c r="I71" s="10" t="s">
        <v>100</v>
      </c>
      <c r="J71" s="10" t="s">
        <v>112</v>
      </c>
      <c r="K71" s="10" t="s">
        <v>113</v>
      </c>
      <c r="L71" s="10"/>
      <c r="M71" s="10" t="s">
        <v>114</v>
      </c>
    </row>
    <row r="72" spans="1:13" ht="15" customHeight="1" x14ac:dyDescent="0.25">
      <c r="A72" s="10">
        <v>1069</v>
      </c>
      <c r="B72" s="15">
        <v>-6750000</v>
      </c>
      <c r="C72" s="15"/>
      <c r="D72" s="15">
        <f t="shared" si="2"/>
        <v>-6750000</v>
      </c>
      <c r="E72" s="15">
        <v>-3875000</v>
      </c>
      <c r="F72" s="15"/>
      <c r="G72" s="15">
        <f t="shared" si="3"/>
        <v>-3875000</v>
      </c>
      <c r="H72" s="10" t="s">
        <v>100</v>
      </c>
      <c r="I72" s="10" t="s">
        <v>100</v>
      </c>
      <c r="J72" s="10" t="s">
        <v>115</v>
      </c>
      <c r="K72" s="10" t="s">
        <v>116</v>
      </c>
      <c r="L72" s="10"/>
      <c r="M72" s="10" t="s">
        <v>117</v>
      </c>
    </row>
    <row r="73" spans="1:13" ht="15" customHeight="1" x14ac:dyDescent="0.25">
      <c r="A73" s="10">
        <v>1070</v>
      </c>
      <c r="B73" s="15">
        <v>-6670124</v>
      </c>
      <c r="C73" s="15"/>
      <c r="D73" s="15">
        <f t="shared" si="2"/>
        <v>-6670124</v>
      </c>
      <c r="E73" s="15">
        <v>-5856180</v>
      </c>
      <c r="F73" s="15"/>
      <c r="G73" s="15">
        <f t="shared" si="3"/>
        <v>-5856180</v>
      </c>
      <c r="H73" s="10" t="s">
        <v>118</v>
      </c>
      <c r="I73" s="10" t="s">
        <v>119</v>
      </c>
      <c r="J73" s="10" t="s">
        <v>120</v>
      </c>
      <c r="K73" s="10" t="s">
        <v>121</v>
      </c>
      <c r="L73" s="10"/>
      <c r="M73" s="10" t="s">
        <v>122</v>
      </c>
    </row>
    <row r="74" spans="1:13" ht="15" customHeight="1" x14ac:dyDescent="0.25">
      <c r="A74" s="10">
        <v>1071</v>
      </c>
      <c r="B74" s="15">
        <v>-974042</v>
      </c>
      <c r="C74" s="15"/>
      <c r="D74" s="15">
        <f t="shared" si="2"/>
        <v>-974042</v>
      </c>
      <c r="E74" s="15">
        <v>-925943</v>
      </c>
      <c r="F74" s="15"/>
      <c r="G74" s="15">
        <f t="shared" si="3"/>
        <v>-925943</v>
      </c>
      <c r="H74" s="10" t="s">
        <v>118</v>
      </c>
      <c r="I74" s="10" t="s">
        <v>119</v>
      </c>
      <c r="J74" s="10" t="s">
        <v>120</v>
      </c>
      <c r="K74" s="10" t="s">
        <v>123</v>
      </c>
      <c r="L74" s="10"/>
      <c r="M74" s="10" t="s">
        <v>122</v>
      </c>
    </row>
    <row r="75" spans="1:13" ht="15" customHeight="1" x14ac:dyDescent="0.25">
      <c r="A75" s="10">
        <v>1072</v>
      </c>
      <c r="B75" s="15">
        <v>-402986</v>
      </c>
      <c r="C75" s="15"/>
      <c r="D75" s="15">
        <f t="shared" si="2"/>
        <v>-402986</v>
      </c>
      <c r="E75" s="15">
        <v>-380506</v>
      </c>
      <c r="F75" s="15"/>
      <c r="G75" s="15">
        <f t="shared" si="3"/>
        <v>-380506</v>
      </c>
      <c r="H75" s="10" t="s">
        <v>118</v>
      </c>
      <c r="I75" s="10" t="s">
        <v>119</v>
      </c>
      <c r="J75" s="10" t="s">
        <v>120</v>
      </c>
      <c r="K75" s="10" t="s">
        <v>124</v>
      </c>
      <c r="L75" s="10"/>
      <c r="M75" s="10" t="s">
        <v>122</v>
      </c>
    </row>
    <row r="76" spans="1:13" ht="15" customHeight="1" x14ac:dyDescent="0.25">
      <c r="A76" s="10">
        <v>1073</v>
      </c>
      <c r="B76" s="15">
        <v>-199242</v>
      </c>
      <c r="C76" s="15"/>
      <c r="D76" s="15">
        <f t="shared" si="2"/>
        <v>-199242</v>
      </c>
      <c r="E76" s="15">
        <v>-376579</v>
      </c>
      <c r="F76" s="15"/>
      <c r="G76" s="15">
        <f t="shared" si="3"/>
        <v>-376579</v>
      </c>
      <c r="H76" s="10" t="s">
        <v>118</v>
      </c>
      <c r="I76" s="10" t="s">
        <v>119</v>
      </c>
      <c r="J76" s="10" t="s">
        <v>120</v>
      </c>
      <c r="K76" s="10" t="s">
        <v>125</v>
      </c>
      <c r="L76" s="10"/>
      <c r="M76" s="10" t="s">
        <v>122</v>
      </c>
    </row>
    <row r="77" spans="1:13" ht="15" customHeight="1" x14ac:dyDescent="0.25">
      <c r="A77" s="10">
        <v>1074</v>
      </c>
      <c r="B77" s="15">
        <v>-350791</v>
      </c>
      <c r="C77" s="15"/>
      <c r="D77" s="15">
        <f t="shared" si="2"/>
        <v>-350791</v>
      </c>
      <c r="E77" s="15">
        <v>-439585</v>
      </c>
      <c r="F77" s="15"/>
      <c r="G77" s="15">
        <f t="shared" si="3"/>
        <v>-439585</v>
      </c>
      <c r="H77" s="10" t="s">
        <v>118</v>
      </c>
      <c r="I77" s="10" t="s">
        <v>119</v>
      </c>
      <c r="J77" s="10" t="s">
        <v>120</v>
      </c>
      <c r="K77" s="10" t="s">
        <v>126</v>
      </c>
      <c r="L77" s="10"/>
      <c r="M77" s="10" t="s">
        <v>122</v>
      </c>
    </row>
    <row r="78" spans="1:13" ht="15" customHeight="1" x14ac:dyDescent="0.25">
      <c r="A78" s="10">
        <v>1075</v>
      </c>
      <c r="B78" s="15">
        <v>-381030</v>
      </c>
      <c r="C78" s="15"/>
      <c r="D78" s="15">
        <f t="shared" si="2"/>
        <v>-381030</v>
      </c>
      <c r="E78" s="15">
        <v>-380234</v>
      </c>
      <c r="F78" s="15"/>
      <c r="G78" s="15">
        <f t="shared" si="3"/>
        <v>-380234</v>
      </c>
      <c r="H78" s="10" t="s">
        <v>118</v>
      </c>
      <c r="I78" s="10" t="s">
        <v>127</v>
      </c>
      <c r="J78" s="10" t="s">
        <v>128</v>
      </c>
      <c r="K78" s="10" t="s">
        <v>129</v>
      </c>
      <c r="L78" s="10"/>
      <c r="M78" s="10" t="s">
        <v>130</v>
      </c>
    </row>
    <row r="79" spans="1:13" ht="15" customHeight="1" x14ac:dyDescent="0.25">
      <c r="A79" s="10">
        <v>1076</v>
      </c>
      <c r="B79" s="15">
        <v>-283027</v>
      </c>
      <c r="C79" s="15"/>
      <c r="D79" s="15">
        <f t="shared" si="2"/>
        <v>-283027</v>
      </c>
      <c r="E79" s="15">
        <v>-188095</v>
      </c>
      <c r="F79" s="15"/>
      <c r="G79" s="15">
        <f t="shared" si="3"/>
        <v>-188095</v>
      </c>
      <c r="H79" s="10" t="s">
        <v>118</v>
      </c>
      <c r="I79" s="10" t="s">
        <v>127</v>
      </c>
      <c r="J79" s="10" t="s">
        <v>128</v>
      </c>
      <c r="K79" s="10" t="s">
        <v>131</v>
      </c>
      <c r="L79" s="10"/>
      <c r="M79" s="10" t="s">
        <v>130</v>
      </c>
    </row>
    <row r="80" spans="1:13" ht="15" customHeight="1" x14ac:dyDescent="0.25">
      <c r="A80" s="10">
        <v>1077</v>
      </c>
      <c r="B80" s="15">
        <v>-177571</v>
      </c>
      <c r="C80" s="15"/>
      <c r="D80" s="15">
        <f t="shared" si="2"/>
        <v>-177571</v>
      </c>
      <c r="E80" s="15">
        <v>-147736</v>
      </c>
      <c r="F80" s="15"/>
      <c r="G80" s="15">
        <f t="shared" si="3"/>
        <v>-147736</v>
      </c>
      <c r="H80" s="10" t="s">
        <v>118</v>
      </c>
      <c r="I80" s="10" t="s">
        <v>127</v>
      </c>
      <c r="J80" s="10" t="s">
        <v>128</v>
      </c>
      <c r="K80" s="10" t="s">
        <v>132</v>
      </c>
      <c r="L80" s="10"/>
      <c r="M80" s="10" t="s">
        <v>130</v>
      </c>
    </row>
    <row r="81" spans="1:13" ht="15" customHeight="1" x14ac:dyDescent="0.25">
      <c r="A81" s="10">
        <v>1078</v>
      </c>
      <c r="B81" s="15">
        <v>-97666</v>
      </c>
      <c r="C81" s="15"/>
      <c r="D81" s="15">
        <f t="shared" si="2"/>
        <v>-97666</v>
      </c>
      <c r="E81" s="15">
        <v>-171684</v>
      </c>
      <c r="F81" s="15"/>
      <c r="G81" s="15">
        <f t="shared" si="3"/>
        <v>-171684</v>
      </c>
      <c r="H81" s="10" t="s">
        <v>118</v>
      </c>
      <c r="I81" s="10" t="s">
        <v>127</v>
      </c>
      <c r="J81" s="10" t="s">
        <v>128</v>
      </c>
      <c r="K81" s="10" t="s">
        <v>133</v>
      </c>
      <c r="L81" s="10"/>
      <c r="M81" s="10" t="s">
        <v>130</v>
      </c>
    </row>
    <row r="82" spans="1:13" ht="15" customHeight="1" x14ac:dyDescent="0.25">
      <c r="A82" s="10">
        <v>1079</v>
      </c>
      <c r="B82" s="15">
        <v>-63345</v>
      </c>
      <c r="C82" s="15"/>
      <c r="D82" s="15">
        <f t="shared" si="2"/>
        <v>-63345</v>
      </c>
      <c r="E82" s="15">
        <v>-71803</v>
      </c>
      <c r="F82" s="15"/>
      <c r="G82" s="15">
        <f t="shared" si="3"/>
        <v>-71803</v>
      </c>
      <c r="H82" s="10" t="s">
        <v>118</v>
      </c>
      <c r="I82" s="10" t="s">
        <v>127</v>
      </c>
      <c r="J82" s="10" t="s">
        <v>128</v>
      </c>
      <c r="K82" s="10" t="s">
        <v>134</v>
      </c>
      <c r="L82" s="10"/>
      <c r="M82" s="10" t="s">
        <v>130</v>
      </c>
    </row>
    <row r="83" spans="1:13" ht="15" customHeight="1" x14ac:dyDescent="0.25">
      <c r="A83" s="10">
        <v>1080</v>
      </c>
      <c r="B83" s="15">
        <v>-19905</v>
      </c>
      <c r="C83" s="15"/>
      <c r="D83" s="15">
        <f t="shared" si="2"/>
        <v>-19905</v>
      </c>
      <c r="E83" s="15">
        <v>-20937</v>
      </c>
      <c r="F83" s="15"/>
      <c r="G83" s="15">
        <f t="shared" si="3"/>
        <v>-20937</v>
      </c>
      <c r="H83" s="10" t="s">
        <v>118</v>
      </c>
      <c r="I83" s="10" t="s">
        <v>127</v>
      </c>
      <c r="J83" s="10" t="s">
        <v>128</v>
      </c>
      <c r="K83" s="10" t="s">
        <v>135</v>
      </c>
      <c r="L83" s="10"/>
      <c r="M83" s="10" t="s">
        <v>130</v>
      </c>
    </row>
    <row r="84" spans="1:13" ht="15" customHeight="1" x14ac:dyDescent="0.25">
      <c r="A84" s="10">
        <v>1081</v>
      </c>
      <c r="B84" s="15">
        <v>-51904</v>
      </c>
      <c r="C84" s="15"/>
      <c r="D84" s="15">
        <f t="shared" si="2"/>
        <v>-51904</v>
      </c>
      <c r="E84" s="15">
        <v>-35555</v>
      </c>
      <c r="F84" s="15"/>
      <c r="G84" s="15">
        <f t="shared" si="3"/>
        <v>-35555</v>
      </c>
      <c r="H84" s="10" t="s">
        <v>118</v>
      </c>
      <c r="I84" s="10" t="s">
        <v>127</v>
      </c>
      <c r="J84" s="10" t="s">
        <v>128</v>
      </c>
      <c r="K84" s="10" t="s">
        <v>136</v>
      </c>
      <c r="L84" s="10"/>
      <c r="M84" s="10" t="s">
        <v>130</v>
      </c>
    </row>
    <row r="85" spans="1:13" ht="15" customHeight="1" x14ac:dyDescent="0.25">
      <c r="A85" s="10">
        <v>1082</v>
      </c>
      <c r="B85" s="15">
        <v>-18300</v>
      </c>
      <c r="C85" s="15"/>
      <c r="D85" s="15">
        <f t="shared" si="2"/>
        <v>-18300</v>
      </c>
      <c r="E85" s="15">
        <v>-14469</v>
      </c>
      <c r="F85" s="15"/>
      <c r="G85" s="15">
        <f t="shared" si="3"/>
        <v>-14469</v>
      </c>
      <c r="H85" s="10" t="s">
        <v>118</v>
      </c>
      <c r="I85" s="10" t="s">
        <v>127</v>
      </c>
      <c r="J85" s="10" t="s">
        <v>128</v>
      </c>
      <c r="K85" s="10" t="s">
        <v>137</v>
      </c>
      <c r="L85" s="10"/>
      <c r="M85" s="10" t="s">
        <v>130</v>
      </c>
    </row>
    <row r="86" spans="1:13" ht="15" customHeight="1" x14ac:dyDescent="0.25">
      <c r="A86" s="10">
        <v>1083</v>
      </c>
      <c r="B86" s="15">
        <v>-43075</v>
      </c>
      <c r="C86" s="15"/>
      <c r="D86" s="15">
        <f t="shared" si="2"/>
        <v>-43075</v>
      </c>
      <c r="E86" s="15">
        <v>-55153</v>
      </c>
      <c r="F86" s="15"/>
      <c r="G86" s="15">
        <f t="shared" si="3"/>
        <v>-55153</v>
      </c>
      <c r="H86" s="10" t="s">
        <v>118</v>
      </c>
      <c r="I86" s="10" t="s">
        <v>127</v>
      </c>
      <c r="J86" s="10" t="s">
        <v>128</v>
      </c>
      <c r="K86" s="10" t="s">
        <v>59</v>
      </c>
      <c r="L86" s="10"/>
      <c r="M86" s="10" t="s">
        <v>130</v>
      </c>
    </row>
    <row r="87" spans="1:13" ht="15" customHeight="1" x14ac:dyDescent="0.25">
      <c r="A87" s="10">
        <v>1084</v>
      </c>
      <c r="B87" s="15">
        <v>-270169</v>
      </c>
      <c r="C87" s="15"/>
      <c r="D87" s="15">
        <f t="shared" si="2"/>
        <v>-270169</v>
      </c>
      <c r="E87" s="15">
        <v>-221059</v>
      </c>
      <c r="F87" s="15"/>
      <c r="G87" s="15">
        <f t="shared" si="3"/>
        <v>-221059</v>
      </c>
      <c r="H87" s="10" t="s">
        <v>118</v>
      </c>
      <c r="I87" s="10" t="s">
        <v>127</v>
      </c>
      <c r="J87" s="10" t="s">
        <v>138</v>
      </c>
      <c r="K87" s="10"/>
      <c r="L87" s="10"/>
      <c r="M87" s="10" t="s">
        <v>139</v>
      </c>
    </row>
    <row r="88" spans="1:13" ht="15" customHeight="1" x14ac:dyDescent="0.25">
      <c r="A88" s="10">
        <v>1085</v>
      </c>
      <c r="B88" s="15">
        <v>-85870</v>
      </c>
      <c r="C88" s="15"/>
      <c r="D88" s="15">
        <f t="shared" si="2"/>
        <v>-85870</v>
      </c>
      <c r="E88" s="15">
        <v>-44647</v>
      </c>
      <c r="F88" s="15"/>
      <c r="G88" s="15">
        <f t="shared" si="3"/>
        <v>-44647</v>
      </c>
      <c r="H88" s="10" t="s">
        <v>118</v>
      </c>
      <c r="I88" s="10" t="s">
        <v>127</v>
      </c>
      <c r="J88" s="10" t="s">
        <v>140</v>
      </c>
      <c r="K88" s="10" t="s">
        <v>27</v>
      </c>
      <c r="L88" s="10"/>
      <c r="M88" s="10" t="s">
        <v>141</v>
      </c>
    </row>
    <row r="89" spans="1:13" ht="15" customHeight="1" x14ac:dyDescent="0.25">
      <c r="A89" s="10">
        <v>1086</v>
      </c>
      <c r="B89" s="15">
        <v>-83376</v>
      </c>
      <c r="C89" s="15"/>
      <c r="D89" s="15">
        <f t="shared" si="2"/>
        <v>-83376</v>
      </c>
      <c r="E89" s="15">
        <v>1732</v>
      </c>
      <c r="F89" s="15"/>
      <c r="G89" s="15">
        <f t="shared" si="3"/>
        <v>1732</v>
      </c>
      <c r="H89" s="10" t="s">
        <v>118</v>
      </c>
      <c r="I89" s="10" t="s">
        <v>127</v>
      </c>
      <c r="J89" s="10" t="s">
        <v>140</v>
      </c>
      <c r="K89" s="10" t="s">
        <v>142</v>
      </c>
      <c r="L89" s="10"/>
      <c r="M89" s="10" t="s">
        <v>141</v>
      </c>
    </row>
    <row r="90" spans="1:13" ht="15" customHeight="1" x14ac:dyDescent="0.25">
      <c r="A90" s="10">
        <v>1087</v>
      </c>
      <c r="B90" s="15">
        <v>-2644</v>
      </c>
      <c r="C90" s="15"/>
      <c r="D90" s="15">
        <f t="shared" si="2"/>
        <v>-2644</v>
      </c>
      <c r="E90" s="15">
        <v>-1726</v>
      </c>
      <c r="F90" s="15"/>
      <c r="G90" s="15">
        <f t="shared" si="3"/>
        <v>-1726</v>
      </c>
      <c r="H90" s="10" t="s">
        <v>118</v>
      </c>
      <c r="I90" s="10" t="s">
        <v>127</v>
      </c>
      <c r="J90" s="10" t="s">
        <v>140</v>
      </c>
      <c r="K90" s="10" t="s">
        <v>143</v>
      </c>
      <c r="L90" s="10"/>
      <c r="M90" s="10" t="s">
        <v>141</v>
      </c>
    </row>
    <row r="91" spans="1:13" ht="15" customHeight="1" x14ac:dyDescent="0.25">
      <c r="A91" s="10">
        <v>1088</v>
      </c>
      <c r="B91" s="15">
        <v>-176402</v>
      </c>
      <c r="C91" s="15"/>
      <c r="D91" s="15">
        <f t="shared" si="2"/>
        <v>-176402</v>
      </c>
      <c r="E91" s="15">
        <v>-151499</v>
      </c>
      <c r="F91" s="15"/>
      <c r="G91" s="15">
        <f t="shared" si="3"/>
        <v>-151499</v>
      </c>
      <c r="H91" s="10" t="s">
        <v>118</v>
      </c>
      <c r="I91" s="10" t="s">
        <v>127</v>
      </c>
      <c r="J91" s="10" t="s">
        <v>144</v>
      </c>
      <c r="K91" s="10" t="s">
        <v>145</v>
      </c>
      <c r="L91" s="10"/>
      <c r="M91" s="10" t="s">
        <v>146</v>
      </c>
    </row>
    <row r="92" spans="1:13" ht="15" customHeight="1" x14ac:dyDescent="0.25">
      <c r="A92" s="10">
        <v>1089</v>
      </c>
      <c r="B92" s="15">
        <v>-75553</v>
      </c>
      <c r="C92" s="15"/>
      <c r="D92" s="15">
        <f t="shared" si="2"/>
        <v>-75553</v>
      </c>
      <c r="E92" s="15">
        <v>-41182</v>
      </c>
      <c r="F92" s="15"/>
      <c r="G92" s="15">
        <f t="shared" si="3"/>
        <v>-41182</v>
      </c>
      <c r="H92" s="10" t="s">
        <v>118</v>
      </c>
      <c r="I92" s="10" t="s">
        <v>127</v>
      </c>
      <c r="J92" s="10" t="s">
        <v>144</v>
      </c>
      <c r="K92" s="10" t="s">
        <v>147</v>
      </c>
      <c r="L92" s="10"/>
      <c r="M92" s="10" t="s">
        <v>146</v>
      </c>
    </row>
    <row r="93" spans="1:13" ht="15" customHeight="1" x14ac:dyDescent="0.25">
      <c r="A93" s="10">
        <v>1090</v>
      </c>
      <c r="B93" s="15">
        <v>-3219</v>
      </c>
      <c r="C93" s="15"/>
      <c r="D93" s="15">
        <f t="shared" si="2"/>
        <v>-3219</v>
      </c>
      <c r="E93" s="15">
        <v>-68077</v>
      </c>
      <c r="F93" s="15"/>
      <c r="G93" s="15">
        <f t="shared" si="3"/>
        <v>-68077</v>
      </c>
      <c r="H93" s="10" t="s">
        <v>118</v>
      </c>
      <c r="I93" s="10" t="s">
        <v>127</v>
      </c>
      <c r="J93" s="10" t="s">
        <v>148</v>
      </c>
      <c r="K93" s="10" t="s">
        <v>149</v>
      </c>
      <c r="L93" s="10"/>
      <c r="M93" s="10" t="s">
        <v>150</v>
      </c>
    </row>
    <row r="94" spans="1:13" ht="15" customHeight="1" x14ac:dyDescent="0.25">
      <c r="A94" s="10">
        <v>1091</v>
      </c>
      <c r="B94" s="15">
        <v>-564</v>
      </c>
      <c r="C94" s="15"/>
      <c r="D94" s="15">
        <f t="shared" si="2"/>
        <v>-564</v>
      </c>
      <c r="E94" s="15">
        <v>-14</v>
      </c>
      <c r="F94" s="15"/>
      <c r="G94" s="15">
        <f t="shared" si="3"/>
        <v>-14</v>
      </c>
      <c r="H94" s="10" t="s">
        <v>118</v>
      </c>
      <c r="I94" s="10" t="s">
        <v>127</v>
      </c>
      <c r="J94" s="10" t="s">
        <v>148</v>
      </c>
      <c r="K94" s="10" t="s">
        <v>151</v>
      </c>
      <c r="L94" s="10"/>
      <c r="M94" s="10" t="s">
        <v>150</v>
      </c>
    </row>
    <row r="95" spans="1:13" ht="15" customHeight="1" x14ac:dyDescent="0.25">
      <c r="A95" s="10">
        <v>1092</v>
      </c>
      <c r="B95" s="15">
        <v>-32896</v>
      </c>
      <c r="C95" s="15"/>
      <c r="D95" s="15">
        <f t="shared" si="2"/>
        <v>-32896</v>
      </c>
      <c r="E95" s="15">
        <v>-14442</v>
      </c>
      <c r="F95" s="15"/>
      <c r="G95" s="15">
        <f t="shared" si="3"/>
        <v>-14442</v>
      </c>
      <c r="H95" s="10" t="s">
        <v>118</v>
      </c>
      <c r="I95" s="10" t="s">
        <v>127</v>
      </c>
      <c r="J95" s="10" t="s">
        <v>148</v>
      </c>
      <c r="K95" s="10" t="s">
        <v>59</v>
      </c>
      <c r="L95" s="10"/>
      <c r="M95" s="10" t="s">
        <v>150</v>
      </c>
    </row>
    <row r="96" spans="1:13" ht="15" customHeight="1" x14ac:dyDescent="0.25">
      <c r="A96" s="10">
        <v>1093</v>
      </c>
      <c r="B96" s="15">
        <v>-12871</v>
      </c>
      <c r="C96" s="15"/>
      <c r="D96" s="15">
        <f t="shared" si="2"/>
        <v>-12871</v>
      </c>
      <c r="E96" s="15">
        <v>-16901</v>
      </c>
      <c r="F96" s="15"/>
      <c r="G96" s="15">
        <f t="shared" si="3"/>
        <v>-16901</v>
      </c>
      <c r="H96" s="10" t="s">
        <v>118</v>
      </c>
      <c r="I96" s="10" t="s">
        <v>152</v>
      </c>
      <c r="J96" s="10" t="s">
        <v>152</v>
      </c>
      <c r="K96" s="10"/>
      <c r="L96" s="10"/>
      <c r="M96" s="10" t="s">
        <v>153</v>
      </c>
    </row>
    <row r="97" spans="1:13" ht="15" customHeight="1" x14ac:dyDescent="0.25">
      <c r="A97" s="10">
        <v>1103</v>
      </c>
      <c r="B97" s="15">
        <v>4121598</v>
      </c>
      <c r="C97" s="15"/>
      <c r="D97" s="15">
        <f t="shared" si="2"/>
        <v>4121598</v>
      </c>
      <c r="E97" s="15">
        <v>3740659</v>
      </c>
      <c r="F97" s="15"/>
      <c r="G97" s="15">
        <f t="shared" si="3"/>
        <v>3740659</v>
      </c>
      <c r="H97" s="10" t="s">
        <v>167</v>
      </c>
      <c r="I97" s="10" t="s">
        <v>168</v>
      </c>
      <c r="J97" s="10" t="s">
        <v>169</v>
      </c>
      <c r="K97" s="10" t="s">
        <v>79</v>
      </c>
      <c r="L97" s="10"/>
      <c r="M97" s="10" t="s">
        <v>122</v>
      </c>
    </row>
    <row r="98" spans="1:13" ht="15" customHeight="1" x14ac:dyDescent="0.25">
      <c r="A98" s="10">
        <v>1104</v>
      </c>
      <c r="B98" s="15">
        <v>1164669</v>
      </c>
      <c r="C98" s="15"/>
      <c r="D98" s="15">
        <f t="shared" si="2"/>
        <v>1164669</v>
      </c>
      <c r="E98" s="15">
        <v>1107031</v>
      </c>
      <c r="F98" s="15"/>
      <c r="G98" s="15">
        <f t="shared" si="3"/>
        <v>1107031</v>
      </c>
      <c r="H98" s="10" t="s">
        <v>167</v>
      </c>
      <c r="I98" s="10" t="s">
        <v>168</v>
      </c>
      <c r="J98" s="10" t="s">
        <v>169</v>
      </c>
      <c r="K98" s="10" t="s">
        <v>170</v>
      </c>
      <c r="L98" s="10"/>
      <c r="M98" s="10" t="s">
        <v>122</v>
      </c>
    </row>
    <row r="99" spans="1:13" ht="15" customHeight="1" x14ac:dyDescent="0.25">
      <c r="A99" s="10">
        <v>1105</v>
      </c>
      <c r="B99" s="15">
        <v>157659</v>
      </c>
      <c r="C99" s="15"/>
      <c r="D99" s="15">
        <f t="shared" si="2"/>
        <v>157659</v>
      </c>
      <c r="E99" s="15">
        <v>331951</v>
      </c>
      <c r="F99" s="15"/>
      <c r="G99" s="15">
        <f t="shared" si="3"/>
        <v>331951</v>
      </c>
      <c r="H99" s="10" t="s">
        <v>167</v>
      </c>
      <c r="I99" s="10" t="s">
        <v>168</v>
      </c>
      <c r="J99" s="10" t="s">
        <v>169</v>
      </c>
      <c r="K99" s="10" t="s">
        <v>125</v>
      </c>
      <c r="L99" s="10"/>
      <c r="M99" s="10" t="s">
        <v>122</v>
      </c>
    </row>
    <row r="100" spans="1:13" ht="15" customHeight="1" x14ac:dyDescent="0.25">
      <c r="A100" s="10">
        <v>1106</v>
      </c>
      <c r="B100" s="15">
        <v>141984</v>
      </c>
      <c r="C100" s="15"/>
      <c r="D100" s="15">
        <f t="shared" si="2"/>
        <v>141984</v>
      </c>
      <c r="E100" s="15">
        <v>157645</v>
      </c>
      <c r="F100" s="15"/>
      <c r="G100" s="15">
        <f t="shared" si="3"/>
        <v>157645</v>
      </c>
      <c r="H100" s="10" t="s">
        <v>167</v>
      </c>
      <c r="I100" s="10" t="s">
        <v>168</v>
      </c>
      <c r="J100" s="10" t="s">
        <v>169</v>
      </c>
      <c r="K100" s="10" t="s">
        <v>84</v>
      </c>
      <c r="L100" s="10"/>
      <c r="M100" s="10" t="s">
        <v>122</v>
      </c>
    </row>
    <row r="101" spans="1:13" ht="15" customHeight="1" x14ac:dyDescent="0.25">
      <c r="A101" s="10">
        <v>1107</v>
      </c>
      <c r="B101" s="15">
        <v>16495</v>
      </c>
      <c r="C101" s="15"/>
      <c r="D101" s="15">
        <f t="shared" si="2"/>
        <v>16495</v>
      </c>
      <c r="E101" s="15">
        <v>11591</v>
      </c>
      <c r="F101" s="15"/>
      <c r="G101" s="15">
        <f t="shared" si="3"/>
        <v>11591</v>
      </c>
      <c r="H101" s="10" t="s">
        <v>167</v>
      </c>
      <c r="I101" s="10" t="s">
        <v>168</v>
      </c>
      <c r="J101" s="10" t="s">
        <v>169</v>
      </c>
      <c r="K101" s="10" t="s">
        <v>171</v>
      </c>
      <c r="L101" s="10"/>
      <c r="M101" s="10" t="s">
        <v>122</v>
      </c>
    </row>
    <row r="102" spans="1:13" ht="15" customHeight="1" x14ac:dyDescent="0.25">
      <c r="A102" s="10">
        <v>1108</v>
      </c>
      <c r="B102" s="15">
        <v>-4872</v>
      </c>
      <c r="C102" s="15"/>
      <c r="D102" s="15">
        <f t="shared" si="2"/>
        <v>-4872</v>
      </c>
      <c r="E102" s="15">
        <v>-4506</v>
      </c>
      <c r="F102" s="15"/>
      <c r="G102" s="15">
        <f t="shared" si="3"/>
        <v>-4506</v>
      </c>
      <c r="H102" s="10" t="s">
        <v>167</v>
      </c>
      <c r="I102" s="10" t="s">
        <v>168</v>
      </c>
      <c r="J102" s="10" t="s">
        <v>169</v>
      </c>
      <c r="K102" s="10" t="s">
        <v>59</v>
      </c>
      <c r="L102" s="10"/>
      <c r="M102" s="10" t="s">
        <v>122</v>
      </c>
    </row>
    <row r="103" spans="1:13" ht="15" customHeight="1" x14ac:dyDescent="0.25">
      <c r="A103" s="10">
        <v>1109</v>
      </c>
      <c r="B103" s="15">
        <v>305026</v>
      </c>
      <c r="C103" s="15"/>
      <c r="D103" s="15">
        <f t="shared" si="2"/>
        <v>305026</v>
      </c>
      <c r="E103" s="15">
        <v>348936</v>
      </c>
      <c r="F103" s="15"/>
      <c r="G103" s="15">
        <f t="shared" si="3"/>
        <v>348936</v>
      </c>
      <c r="H103" s="10" t="s">
        <v>167</v>
      </c>
      <c r="I103" s="10" t="s">
        <v>172</v>
      </c>
      <c r="J103" s="10" t="s">
        <v>173</v>
      </c>
      <c r="K103" s="10" t="s">
        <v>174</v>
      </c>
      <c r="L103" s="10"/>
      <c r="M103" s="10" t="s">
        <v>130</v>
      </c>
    </row>
    <row r="104" spans="1:13" ht="15" customHeight="1" x14ac:dyDescent="0.25">
      <c r="A104" s="10">
        <v>1110</v>
      </c>
      <c r="B104" s="15">
        <v>51350</v>
      </c>
      <c r="C104" s="15"/>
      <c r="D104" s="15">
        <f t="shared" si="2"/>
        <v>51350</v>
      </c>
      <c r="E104" s="15">
        <v>90478</v>
      </c>
      <c r="F104" s="15"/>
      <c r="G104" s="15">
        <f t="shared" si="3"/>
        <v>90478</v>
      </c>
      <c r="H104" s="10" t="s">
        <v>167</v>
      </c>
      <c r="I104" s="10" t="s">
        <v>172</v>
      </c>
      <c r="J104" s="10" t="s">
        <v>173</v>
      </c>
      <c r="K104" s="10" t="s">
        <v>175</v>
      </c>
      <c r="L104" s="10"/>
      <c r="M104" s="10" t="s">
        <v>130</v>
      </c>
    </row>
    <row r="105" spans="1:13" ht="15" customHeight="1" x14ac:dyDescent="0.25">
      <c r="A105" s="10">
        <v>1111</v>
      </c>
      <c r="B105" s="15">
        <v>23287</v>
      </c>
      <c r="C105" s="15"/>
      <c r="D105" s="15">
        <f t="shared" si="2"/>
        <v>23287</v>
      </c>
      <c r="E105" s="15">
        <v>26753</v>
      </c>
      <c r="F105" s="15"/>
      <c r="G105" s="15">
        <f t="shared" si="3"/>
        <v>26753</v>
      </c>
      <c r="H105" s="10" t="s">
        <v>167</v>
      </c>
      <c r="I105" s="10" t="s">
        <v>172</v>
      </c>
      <c r="J105" s="10" t="s">
        <v>173</v>
      </c>
      <c r="K105" s="10" t="s">
        <v>176</v>
      </c>
      <c r="L105" s="10"/>
      <c r="M105" s="10" t="s">
        <v>130</v>
      </c>
    </row>
    <row r="106" spans="1:13" ht="15" customHeight="1" x14ac:dyDescent="0.25">
      <c r="A106" s="10">
        <v>1112</v>
      </c>
      <c r="B106" s="15">
        <v>18802</v>
      </c>
      <c r="C106" s="15"/>
      <c r="D106" s="15">
        <f t="shared" si="2"/>
        <v>18802</v>
      </c>
      <c r="E106" s="15">
        <v>12785</v>
      </c>
      <c r="F106" s="15"/>
      <c r="G106" s="15">
        <f t="shared" si="3"/>
        <v>12785</v>
      </c>
      <c r="H106" s="10" t="s">
        <v>167</v>
      </c>
      <c r="I106" s="10" t="s">
        <v>172</v>
      </c>
      <c r="J106" s="10" t="s">
        <v>173</v>
      </c>
      <c r="K106" s="10" t="s">
        <v>177</v>
      </c>
      <c r="L106" s="10"/>
      <c r="M106" s="10" t="s">
        <v>130</v>
      </c>
    </row>
    <row r="107" spans="1:13" ht="15" customHeight="1" x14ac:dyDescent="0.25">
      <c r="A107" s="10">
        <v>1113</v>
      </c>
      <c r="B107" s="15">
        <v>3268</v>
      </c>
      <c r="C107" s="15"/>
      <c r="D107" s="15">
        <f t="shared" si="2"/>
        <v>3268</v>
      </c>
      <c r="E107" s="15">
        <v>2616</v>
      </c>
      <c r="F107" s="15"/>
      <c r="G107" s="15">
        <f t="shared" si="3"/>
        <v>2616</v>
      </c>
      <c r="H107" s="10" t="s">
        <v>167</v>
      </c>
      <c r="I107" s="10" t="s">
        <v>172</v>
      </c>
      <c r="J107" s="10" t="s">
        <v>173</v>
      </c>
      <c r="K107" s="10" t="s">
        <v>137</v>
      </c>
      <c r="L107" s="10"/>
      <c r="M107" s="10" t="s">
        <v>130</v>
      </c>
    </row>
    <row r="108" spans="1:13" ht="15" customHeight="1" x14ac:dyDescent="0.25">
      <c r="A108" s="10">
        <v>1114</v>
      </c>
      <c r="B108" s="15">
        <v>101</v>
      </c>
      <c r="C108" s="15"/>
      <c r="D108" s="15">
        <f t="shared" si="2"/>
        <v>101</v>
      </c>
      <c r="E108" s="15">
        <v>37</v>
      </c>
      <c r="F108" s="15"/>
      <c r="G108" s="15">
        <f t="shared" si="3"/>
        <v>37</v>
      </c>
      <c r="H108" s="10" t="s">
        <v>167</v>
      </c>
      <c r="I108" s="10" t="s">
        <v>172</v>
      </c>
      <c r="J108" s="10" t="s">
        <v>173</v>
      </c>
      <c r="K108" s="10" t="s">
        <v>178</v>
      </c>
      <c r="L108" s="10"/>
      <c r="M108" s="10" t="s">
        <v>130</v>
      </c>
    </row>
    <row r="109" spans="1:13" ht="15" customHeight="1" x14ac:dyDescent="0.25">
      <c r="A109" s="10">
        <v>1115</v>
      </c>
      <c r="B109" s="15">
        <v>1279232</v>
      </c>
      <c r="C109" s="15"/>
      <c r="D109" s="15">
        <f t="shared" si="2"/>
        <v>1279232</v>
      </c>
      <c r="E109" s="15">
        <v>1165529</v>
      </c>
      <c r="F109" s="15"/>
      <c r="G109" s="15">
        <f t="shared" si="3"/>
        <v>1165529</v>
      </c>
      <c r="H109" s="10" t="s">
        <v>167</v>
      </c>
      <c r="I109" s="10" t="s">
        <v>179</v>
      </c>
      <c r="J109" s="10" t="s">
        <v>180</v>
      </c>
      <c r="K109" s="10" t="s">
        <v>181</v>
      </c>
      <c r="L109" s="10"/>
      <c r="M109" s="10" t="s">
        <v>182</v>
      </c>
    </row>
    <row r="110" spans="1:13" ht="15" customHeight="1" x14ac:dyDescent="0.25">
      <c r="A110" s="10">
        <v>1116</v>
      </c>
      <c r="B110" s="15">
        <v>71068</v>
      </c>
      <c r="C110" s="15"/>
      <c r="D110" s="15">
        <f t="shared" si="2"/>
        <v>71068</v>
      </c>
      <c r="E110" s="15">
        <v>64752</v>
      </c>
      <c r="F110" s="15"/>
      <c r="G110" s="15">
        <f t="shared" si="3"/>
        <v>64752</v>
      </c>
      <c r="H110" s="10" t="s">
        <v>167</v>
      </c>
      <c r="I110" s="10" t="s">
        <v>179</v>
      </c>
      <c r="J110" s="10" t="s">
        <v>183</v>
      </c>
      <c r="K110" s="10" t="s">
        <v>181</v>
      </c>
      <c r="L110" s="10"/>
      <c r="M110" s="10" t="s">
        <v>182</v>
      </c>
    </row>
    <row r="111" spans="1:13" ht="15" customHeight="1" x14ac:dyDescent="0.25">
      <c r="A111" s="10">
        <v>1117</v>
      </c>
      <c r="B111" s="15">
        <v>62697</v>
      </c>
      <c r="C111" s="15"/>
      <c r="D111" s="15">
        <f t="shared" si="2"/>
        <v>62697</v>
      </c>
      <c r="E111" s="15">
        <v>59414</v>
      </c>
      <c r="F111" s="15"/>
      <c r="G111" s="15">
        <f t="shared" si="3"/>
        <v>59414</v>
      </c>
      <c r="H111" s="10" t="s">
        <v>167</v>
      </c>
      <c r="I111" s="10" t="s">
        <v>179</v>
      </c>
      <c r="J111" s="10" t="s">
        <v>184</v>
      </c>
      <c r="K111" s="10" t="s">
        <v>185</v>
      </c>
      <c r="L111" s="10"/>
      <c r="M111" s="10" t="s">
        <v>186</v>
      </c>
    </row>
    <row r="112" spans="1:13" ht="15" customHeight="1" x14ac:dyDescent="0.25">
      <c r="A112" s="10">
        <v>1118</v>
      </c>
      <c r="B112" s="15">
        <v>91857</v>
      </c>
      <c r="C112" s="15"/>
      <c r="D112" s="15">
        <f t="shared" si="2"/>
        <v>91857</v>
      </c>
      <c r="E112" s="15">
        <v>93543</v>
      </c>
      <c r="F112" s="15"/>
      <c r="G112" s="15">
        <f t="shared" si="3"/>
        <v>93543</v>
      </c>
      <c r="H112" s="10" t="s">
        <v>167</v>
      </c>
      <c r="I112" s="10" t="s">
        <v>179</v>
      </c>
      <c r="J112" s="10" t="s">
        <v>184</v>
      </c>
      <c r="K112" s="10" t="s">
        <v>187</v>
      </c>
      <c r="L112" s="10"/>
      <c r="M112" s="10" t="s">
        <v>188</v>
      </c>
    </row>
    <row r="113" spans="1:13" ht="15" customHeight="1" x14ac:dyDescent="0.25">
      <c r="A113" s="10">
        <v>1119</v>
      </c>
      <c r="B113" s="15">
        <v>23029</v>
      </c>
      <c r="C113" s="15"/>
      <c r="D113" s="15">
        <f t="shared" si="2"/>
        <v>23029</v>
      </c>
      <c r="E113" s="15">
        <v>30858</v>
      </c>
      <c r="F113" s="15"/>
      <c r="G113" s="15">
        <f t="shared" si="3"/>
        <v>30858</v>
      </c>
      <c r="H113" s="10" t="s">
        <v>167</v>
      </c>
      <c r="I113" s="10" t="s">
        <v>179</v>
      </c>
      <c r="J113" s="10" t="s">
        <v>184</v>
      </c>
      <c r="K113" s="10" t="s">
        <v>189</v>
      </c>
      <c r="L113" s="10"/>
      <c r="M113" s="10" t="s">
        <v>190</v>
      </c>
    </row>
    <row r="114" spans="1:13" ht="15" customHeight="1" x14ac:dyDescent="0.25">
      <c r="A114" s="10">
        <v>1120</v>
      </c>
      <c r="B114" s="15">
        <v>106126</v>
      </c>
      <c r="C114" s="15"/>
      <c r="D114" s="15">
        <f t="shared" si="2"/>
        <v>106126</v>
      </c>
      <c r="E114" s="15">
        <v>72859</v>
      </c>
      <c r="F114" s="15"/>
      <c r="G114" s="15">
        <f t="shared" si="3"/>
        <v>72859</v>
      </c>
      <c r="H114" s="10" t="s">
        <v>167</v>
      </c>
      <c r="I114" s="10" t="s">
        <v>179</v>
      </c>
      <c r="J114" s="10" t="s">
        <v>191</v>
      </c>
      <c r="K114" s="10" t="s">
        <v>192</v>
      </c>
      <c r="L114" s="10"/>
      <c r="M114" s="10" t="s">
        <v>193</v>
      </c>
    </row>
    <row r="115" spans="1:13" ht="15" customHeight="1" x14ac:dyDescent="0.25">
      <c r="A115" s="10">
        <v>1121</v>
      </c>
      <c r="B115" s="15">
        <v>374131</v>
      </c>
      <c r="C115" s="15"/>
      <c r="D115" s="15">
        <f t="shared" si="2"/>
        <v>374131</v>
      </c>
      <c r="E115" s="15">
        <v>342138</v>
      </c>
      <c r="F115" s="15"/>
      <c r="G115" s="15">
        <f t="shared" si="3"/>
        <v>342138</v>
      </c>
      <c r="H115" s="10" t="s">
        <v>167</v>
      </c>
      <c r="I115" s="10" t="s">
        <v>179</v>
      </c>
      <c r="J115" s="10" t="s">
        <v>191</v>
      </c>
      <c r="K115" s="10" t="s">
        <v>194</v>
      </c>
      <c r="L115" s="10"/>
      <c r="M115" s="10" t="s">
        <v>193</v>
      </c>
    </row>
    <row r="116" spans="1:13" ht="15" customHeight="1" x14ac:dyDescent="0.25">
      <c r="A116" s="10">
        <v>1122</v>
      </c>
      <c r="B116" s="15">
        <v>46235</v>
      </c>
      <c r="C116" s="15"/>
      <c r="D116" s="15">
        <f t="shared" si="2"/>
        <v>46235</v>
      </c>
      <c r="E116" s="15">
        <v>39351</v>
      </c>
      <c r="F116" s="15"/>
      <c r="G116" s="15">
        <f t="shared" si="3"/>
        <v>39351</v>
      </c>
      <c r="H116" s="10" t="s">
        <v>167</v>
      </c>
      <c r="I116" s="10" t="s">
        <v>179</v>
      </c>
      <c r="J116" s="10" t="s">
        <v>191</v>
      </c>
      <c r="K116" s="10" t="s">
        <v>195</v>
      </c>
      <c r="L116" s="10"/>
      <c r="M116" s="10" t="s">
        <v>193</v>
      </c>
    </row>
    <row r="117" spans="1:13" ht="15" customHeight="1" x14ac:dyDescent="0.25">
      <c r="A117" s="10">
        <v>1123</v>
      </c>
      <c r="B117" s="15">
        <v>83898</v>
      </c>
      <c r="C117" s="15"/>
      <c r="D117" s="15">
        <f t="shared" si="2"/>
        <v>83898</v>
      </c>
      <c r="E117" s="15">
        <v>77291</v>
      </c>
      <c r="F117" s="15"/>
      <c r="G117" s="15">
        <f t="shared" si="3"/>
        <v>77291</v>
      </c>
      <c r="H117" s="10" t="s">
        <v>167</v>
      </c>
      <c r="I117" s="10" t="s">
        <v>179</v>
      </c>
      <c r="J117" s="10" t="s">
        <v>191</v>
      </c>
      <c r="K117" s="10" t="s">
        <v>196</v>
      </c>
      <c r="L117" s="10"/>
      <c r="M117" s="10" t="s">
        <v>193</v>
      </c>
    </row>
    <row r="118" spans="1:13" ht="15" customHeight="1" x14ac:dyDescent="0.25">
      <c r="A118" s="10">
        <v>1124</v>
      </c>
      <c r="B118" s="15">
        <v>95187</v>
      </c>
      <c r="C118" s="15"/>
      <c r="D118" s="15">
        <f t="shared" si="2"/>
        <v>95187</v>
      </c>
      <c r="E118" s="15">
        <v>53248</v>
      </c>
      <c r="F118" s="15"/>
      <c r="G118" s="15">
        <f t="shared" si="3"/>
        <v>53248</v>
      </c>
      <c r="H118" s="10" t="s">
        <v>167</v>
      </c>
      <c r="I118" s="10" t="s">
        <v>179</v>
      </c>
      <c r="J118" s="10" t="s">
        <v>191</v>
      </c>
      <c r="K118" s="10" t="s">
        <v>197</v>
      </c>
      <c r="L118" s="10"/>
      <c r="M118" s="10" t="s">
        <v>193</v>
      </c>
    </row>
    <row r="119" spans="1:13" ht="15" customHeight="1" x14ac:dyDescent="0.25">
      <c r="A119" s="10">
        <v>1125</v>
      </c>
      <c r="B119" s="15">
        <v>35758</v>
      </c>
      <c r="C119" s="15"/>
      <c r="D119" s="15">
        <f t="shared" si="2"/>
        <v>35758</v>
      </c>
      <c r="E119" s="15">
        <v>35416</v>
      </c>
      <c r="F119" s="15"/>
      <c r="G119" s="15">
        <f t="shared" si="3"/>
        <v>35416</v>
      </c>
      <c r="H119" s="10" t="s">
        <v>167</v>
      </c>
      <c r="I119" s="10" t="s">
        <v>179</v>
      </c>
      <c r="J119" s="10" t="s">
        <v>191</v>
      </c>
      <c r="K119" s="10" t="s">
        <v>198</v>
      </c>
      <c r="L119" s="10"/>
      <c r="M119" s="10" t="s">
        <v>193</v>
      </c>
    </row>
    <row r="120" spans="1:13" ht="15" customHeight="1" x14ac:dyDescent="0.25">
      <c r="A120" s="10">
        <v>1126</v>
      </c>
      <c r="B120" s="15">
        <v>16107</v>
      </c>
      <c r="C120" s="15"/>
      <c r="D120" s="15">
        <f t="shared" si="2"/>
        <v>16107</v>
      </c>
      <c r="E120" s="15">
        <v>14235</v>
      </c>
      <c r="F120" s="15"/>
      <c r="G120" s="15">
        <f t="shared" si="3"/>
        <v>14235</v>
      </c>
      <c r="H120" s="10" t="s">
        <v>167</v>
      </c>
      <c r="I120" s="10" t="s">
        <v>179</v>
      </c>
      <c r="J120" s="10" t="s">
        <v>191</v>
      </c>
      <c r="K120" s="10" t="s">
        <v>199</v>
      </c>
      <c r="L120" s="10"/>
      <c r="M120" s="10" t="s">
        <v>193</v>
      </c>
    </row>
    <row r="121" spans="1:13" ht="15" customHeight="1" x14ac:dyDescent="0.25">
      <c r="A121" s="10">
        <v>1127</v>
      </c>
      <c r="B121" s="15">
        <v>52303</v>
      </c>
      <c r="C121" s="15"/>
      <c r="D121" s="15">
        <f t="shared" si="2"/>
        <v>52303</v>
      </c>
      <c r="E121" s="15">
        <v>68156</v>
      </c>
      <c r="F121" s="15"/>
      <c r="G121" s="15">
        <f t="shared" si="3"/>
        <v>68156</v>
      </c>
      <c r="H121" s="10" t="s">
        <v>167</v>
      </c>
      <c r="I121" s="10" t="s">
        <v>179</v>
      </c>
      <c r="J121" s="10" t="s">
        <v>191</v>
      </c>
      <c r="K121" s="10" t="s">
        <v>59</v>
      </c>
      <c r="L121" s="10"/>
      <c r="M121" s="10" t="s">
        <v>193</v>
      </c>
    </row>
    <row r="122" spans="1:13" ht="15" customHeight="1" x14ac:dyDescent="0.25">
      <c r="A122" s="10">
        <v>1128</v>
      </c>
      <c r="B122" s="15">
        <v>671783</v>
      </c>
      <c r="C122" s="15"/>
      <c r="D122" s="15">
        <f t="shared" si="2"/>
        <v>671783</v>
      </c>
      <c r="E122" s="15">
        <v>526381</v>
      </c>
      <c r="F122" s="15"/>
      <c r="G122" s="15">
        <f t="shared" si="3"/>
        <v>526381</v>
      </c>
      <c r="H122" s="10" t="s">
        <v>167</v>
      </c>
      <c r="I122" s="10" t="s">
        <v>200</v>
      </c>
      <c r="J122" s="10" t="s">
        <v>201</v>
      </c>
      <c r="K122" s="10" t="s">
        <v>202</v>
      </c>
      <c r="L122" s="10"/>
      <c r="M122" s="10" t="s">
        <v>203</v>
      </c>
    </row>
    <row r="123" spans="1:13" ht="15" customHeight="1" x14ac:dyDescent="0.25">
      <c r="A123" s="10">
        <v>1129</v>
      </c>
      <c r="B123" s="15">
        <v>-137992</v>
      </c>
      <c r="C123" s="15"/>
      <c r="D123" s="15">
        <f t="shared" ref="D123:D128" si="4">B123+C123</f>
        <v>-137992</v>
      </c>
      <c r="E123" s="15">
        <v>-204401</v>
      </c>
      <c r="F123" s="15"/>
      <c r="G123" s="15">
        <f t="shared" ref="G123:G128" si="5">E123+F123</f>
        <v>-204401</v>
      </c>
      <c r="H123" s="10" t="s">
        <v>167</v>
      </c>
      <c r="I123" s="10" t="s">
        <v>200</v>
      </c>
      <c r="J123" s="10" t="s">
        <v>201</v>
      </c>
      <c r="K123" s="10" t="s">
        <v>204</v>
      </c>
      <c r="L123" s="10"/>
      <c r="M123" s="10" t="s">
        <v>203</v>
      </c>
    </row>
    <row r="124" spans="1:13" ht="15" customHeight="1" x14ac:dyDescent="0.25">
      <c r="A124" s="10">
        <v>1130</v>
      </c>
      <c r="B124" s="15">
        <v>-154324</v>
      </c>
      <c r="C124" s="15"/>
      <c r="D124" s="15">
        <f t="shared" si="4"/>
        <v>-154324</v>
      </c>
      <c r="E124" s="15">
        <v>-26830</v>
      </c>
      <c r="F124" s="15"/>
      <c r="G124" s="15">
        <f t="shared" si="5"/>
        <v>-26830</v>
      </c>
      <c r="H124" s="10" t="s">
        <v>167</v>
      </c>
      <c r="I124" s="10" t="s">
        <v>200</v>
      </c>
      <c r="J124" s="10" t="s">
        <v>201</v>
      </c>
      <c r="K124" s="10" t="s">
        <v>205</v>
      </c>
      <c r="L124" s="10"/>
      <c r="M124" s="10" t="s">
        <v>203</v>
      </c>
    </row>
    <row r="125" spans="1:13" ht="15" customHeight="1" x14ac:dyDescent="0.25">
      <c r="A125" s="10">
        <v>1131</v>
      </c>
      <c r="B125" s="15">
        <v>917</v>
      </c>
      <c r="C125" s="15"/>
      <c r="D125" s="15">
        <f t="shared" si="4"/>
        <v>917</v>
      </c>
      <c r="E125" s="15">
        <v>611</v>
      </c>
      <c r="F125" s="15"/>
      <c r="G125" s="15">
        <f t="shared" si="5"/>
        <v>611</v>
      </c>
      <c r="H125" s="10" t="s">
        <v>167</v>
      </c>
      <c r="I125" s="10" t="s">
        <v>200</v>
      </c>
      <c r="J125" s="10" t="s">
        <v>201</v>
      </c>
      <c r="K125" s="10" t="s">
        <v>206</v>
      </c>
      <c r="L125" s="10"/>
      <c r="M125" s="10" t="s">
        <v>203</v>
      </c>
    </row>
    <row r="126" spans="1:13" ht="15" customHeight="1" x14ac:dyDescent="0.25">
      <c r="A126" s="10">
        <v>1132</v>
      </c>
      <c r="B126" s="15">
        <v>1254</v>
      </c>
      <c r="C126" s="15"/>
      <c r="D126" s="15">
        <f t="shared" si="4"/>
        <v>1254</v>
      </c>
      <c r="E126" s="15">
        <v>258</v>
      </c>
      <c r="F126" s="15"/>
      <c r="G126" s="15">
        <f t="shared" si="5"/>
        <v>258</v>
      </c>
      <c r="H126" s="10" t="s">
        <v>167</v>
      </c>
      <c r="I126" s="10" t="s">
        <v>200</v>
      </c>
      <c r="J126" s="10" t="s">
        <v>201</v>
      </c>
      <c r="K126" s="10" t="s">
        <v>207</v>
      </c>
      <c r="L126" s="10"/>
      <c r="M126" s="10" t="s">
        <v>203</v>
      </c>
    </row>
    <row r="127" spans="1:13" ht="15" customHeight="1" x14ac:dyDescent="0.25">
      <c r="A127" s="10">
        <v>1133</v>
      </c>
      <c r="B127" s="15">
        <v>-27894</v>
      </c>
      <c r="C127" s="15"/>
      <c r="D127" s="15">
        <f t="shared" si="4"/>
        <v>-27894</v>
      </c>
      <c r="E127" s="15">
        <v>21441</v>
      </c>
      <c r="F127" s="15"/>
      <c r="G127" s="15">
        <f t="shared" si="5"/>
        <v>21441</v>
      </c>
      <c r="H127" s="10" t="s">
        <v>167</v>
      </c>
      <c r="I127" s="10" t="s">
        <v>200</v>
      </c>
      <c r="J127" s="10" t="s">
        <v>201</v>
      </c>
      <c r="K127" s="10" t="s">
        <v>208</v>
      </c>
      <c r="L127" s="10"/>
      <c r="M127" s="10" t="s">
        <v>203</v>
      </c>
    </row>
    <row r="128" spans="1:13" ht="15" customHeight="1" x14ac:dyDescent="0.25">
      <c r="A128" s="10">
        <v>1134</v>
      </c>
      <c r="B128" s="15">
        <v>0</v>
      </c>
      <c r="C128" s="15"/>
      <c r="D128" s="15">
        <f t="shared" si="4"/>
        <v>0</v>
      </c>
      <c r="E128" s="15">
        <v>-42571</v>
      </c>
      <c r="F128" s="15"/>
      <c r="G128" s="15">
        <f t="shared" si="5"/>
        <v>-42571</v>
      </c>
      <c r="H128" s="10" t="s">
        <v>167</v>
      </c>
      <c r="I128" s="10" t="s">
        <v>200</v>
      </c>
      <c r="J128" s="10" t="s">
        <v>209</v>
      </c>
      <c r="K128" s="10"/>
      <c r="L128" s="10"/>
      <c r="M128" s="10" t="s">
        <v>210</v>
      </c>
    </row>
    <row r="129" spans="1:13" ht="15" customHeight="1" x14ac:dyDescent="0.25">
      <c r="A129" s="10">
        <v>1135</v>
      </c>
      <c r="B129" s="15">
        <v>189567</v>
      </c>
      <c r="C129" s="15"/>
      <c r="D129" s="15">
        <f t="shared" ref="D129:D131" si="6">B129+C129</f>
        <v>189567</v>
      </c>
      <c r="E129" s="15">
        <v>167810</v>
      </c>
      <c r="F129" s="15"/>
      <c r="G129" s="15">
        <f t="shared" ref="G129:G131" si="7">E129+F129</f>
        <v>167810</v>
      </c>
      <c r="H129" s="10" t="s">
        <v>167</v>
      </c>
      <c r="I129" s="10" t="s">
        <v>211</v>
      </c>
      <c r="J129" s="10" t="s">
        <v>212</v>
      </c>
      <c r="K129" s="10" t="s">
        <v>213</v>
      </c>
      <c r="L129" s="10"/>
      <c r="M129" s="10" t="s">
        <v>214</v>
      </c>
    </row>
    <row r="130" spans="1:13" ht="15" customHeight="1" x14ac:dyDescent="0.25">
      <c r="A130" s="10">
        <v>1136</v>
      </c>
      <c r="B130" s="15">
        <v>77578</v>
      </c>
      <c r="C130" s="15"/>
      <c r="D130" s="15">
        <f t="shared" si="6"/>
        <v>77578</v>
      </c>
      <c r="E130" s="15">
        <v>-2529</v>
      </c>
      <c r="F130" s="15"/>
      <c r="G130" s="15">
        <f t="shared" si="7"/>
        <v>-2529</v>
      </c>
      <c r="H130" s="10" t="s">
        <v>167</v>
      </c>
      <c r="I130" s="10" t="s">
        <v>211</v>
      </c>
      <c r="J130" s="10" t="s">
        <v>212</v>
      </c>
      <c r="K130" s="10" t="s">
        <v>215</v>
      </c>
      <c r="L130" s="10"/>
      <c r="M130" s="10" t="s">
        <v>214</v>
      </c>
    </row>
    <row r="131" spans="1:13" ht="15" customHeight="1" x14ac:dyDescent="0.25">
      <c r="A131" s="10">
        <v>1137</v>
      </c>
      <c r="B131" s="15">
        <v>13144</v>
      </c>
      <c r="C131" s="15"/>
      <c r="D131" s="15">
        <f t="shared" si="6"/>
        <v>13144</v>
      </c>
      <c r="E131" s="15">
        <v>8384</v>
      </c>
      <c r="F131" s="15"/>
      <c r="G131" s="15">
        <f t="shared" si="7"/>
        <v>8384</v>
      </c>
      <c r="H131" s="10" t="s">
        <v>167</v>
      </c>
      <c r="I131" s="10" t="s">
        <v>211</v>
      </c>
      <c r="J131" s="10" t="s">
        <v>216</v>
      </c>
      <c r="K131" s="10" t="s">
        <v>213</v>
      </c>
      <c r="L131" s="10"/>
      <c r="M131" s="10" t="s">
        <v>214</v>
      </c>
    </row>
    <row r="132" spans="1:13" ht="15" customHeight="1" x14ac:dyDescent="0.25">
      <c r="A132" s="10">
        <v>1094</v>
      </c>
      <c r="B132" s="15">
        <v>48518</v>
      </c>
      <c r="C132" s="15"/>
      <c r="D132" s="15">
        <f t="shared" ref="D132:D137" si="8">B132+C132</f>
        <v>48518</v>
      </c>
      <c r="E132" s="15">
        <v>-17178</v>
      </c>
      <c r="F132" s="15"/>
      <c r="G132" s="15">
        <f t="shared" ref="G132:G137" si="9">E132+F132</f>
        <v>-17178</v>
      </c>
      <c r="H132" s="10" t="s">
        <v>118</v>
      </c>
      <c r="I132" s="10" t="s">
        <v>154</v>
      </c>
      <c r="J132" s="10" t="s">
        <v>155</v>
      </c>
      <c r="K132" s="10" t="s">
        <v>156</v>
      </c>
      <c r="L132" s="10"/>
      <c r="M132" s="10" t="s">
        <v>106</v>
      </c>
    </row>
    <row r="133" spans="1:13" ht="15" customHeight="1" x14ac:dyDescent="0.25">
      <c r="A133" s="10">
        <v>1095</v>
      </c>
      <c r="B133" s="15">
        <v>30152</v>
      </c>
      <c r="C133" s="15"/>
      <c r="D133" s="15">
        <f t="shared" si="8"/>
        <v>30152</v>
      </c>
      <c r="E133" s="15">
        <v>10149</v>
      </c>
      <c r="F133" s="15"/>
      <c r="G133" s="15">
        <f t="shared" si="9"/>
        <v>10149</v>
      </c>
      <c r="H133" s="10" t="s">
        <v>118</v>
      </c>
      <c r="I133" s="10" t="s">
        <v>154</v>
      </c>
      <c r="J133" s="10" t="s">
        <v>155</v>
      </c>
      <c r="K133" s="10" t="s">
        <v>157</v>
      </c>
      <c r="L133" s="10"/>
      <c r="M133" s="10" t="s">
        <v>158</v>
      </c>
    </row>
    <row r="134" spans="1:13" ht="15" customHeight="1" x14ac:dyDescent="0.25">
      <c r="A134" s="10">
        <v>1096</v>
      </c>
      <c r="B134" s="15">
        <v>-318057</v>
      </c>
      <c r="C134" s="15"/>
      <c r="D134" s="15">
        <f t="shared" si="8"/>
        <v>-318057</v>
      </c>
      <c r="E134" s="15">
        <v>328367</v>
      </c>
      <c r="F134" s="15"/>
      <c r="G134" s="15">
        <f t="shared" si="9"/>
        <v>328367</v>
      </c>
      <c r="H134" s="10" t="s">
        <v>118</v>
      </c>
      <c r="I134" s="10" t="s">
        <v>154</v>
      </c>
      <c r="J134" s="10" t="s">
        <v>107</v>
      </c>
      <c r="K134" s="10" t="s">
        <v>159</v>
      </c>
      <c r="L134" s="10"/>
      <c r="M134" s="10" t="s">
        <v>106</v>
      </c>
    </row>
    <row r="135" spans="1:13" ht="15" customHeight="1" x14ac:dyDescent="0.25">
      <c r="A135" s="10">
        <v>1097</v>
      </c>
      <c r="B135" s="15">
        <v>-50363</v>
      </c>
      <c r="C135" s="15"/>
      <c r="D135" s="15">
        <f t="shared" si="8"/>
        <v>-50363</v>
      </c>
      <c r="E135" s="15">
        <v>-89115</v>
      </c>
      <c r="F135" s="15"/>
      <c r="G135" s="15">
        <f t="shared" si="9"/>
        <v>-89115</v>
      </c>
      <c r="H135" s="10" t="s">
        <v>118</v>
      </c>
      <c r="I135" s="10" t="s">
        <v>154</v>
      </c>
      <c r="J135" s="10" t="s">
        <v>108</v>
      </c>
      <c r="K135" s="10" t="s">
        <v>159</v>
      </c>
      <c r="L135" s="10"/>
      <c r="M135" s="10" t="s">
        <v>106</v>
      </c>
    </row>
    <row r="136" spans="1:13" ht="15" customHeight="1" x14ac:dyDescent="0.25">
      <c r="A136" s="10">
        <v>1099</v>
      </c>
      <c r="B136" s="15">
        <v>8040</v>
      </c>
      <c r="C136" s="15"/>
      <c r="D136" s="15">
        <f t="shared" si="8"/>
        <v>8040</v>
      </c>
      <c r="E136" s="15">
        <v>17685</v>
      </c>
      <c r="F136" s="15"/>
      <c r="G136" s="15">
        <f t="shared" si="9"/>
        <v>17685</v>
      </c>
      <c r="H136" s="10" t="s">
        <v>118</v>
      </c>
      <c r="I136" s="10" t="s">
        <v>154</v>
      </c>
      <c r="J136" s="10" t="s">
        <v>161</v>
      </c>
      <c r="K136" s="10" t="s">
        <v>162</v>
      </c>
      <c r="L136" s="10"/>
      <c r="M136" s="10" t="s">
        <v>163</v>
      </c>
    </row>
    <row r="137" spans="1:13" ht="15" customHeight="1" x14ac:dyDescent="0.25">
      <c r="A137" s="10">
        <v>1102</v>
      </c>
      <c r="B137" s="15">
        <v>-6675</v>
      </c>
      <c r="C137" s="15"/>
      <c r="D137" s="15">
        <f t="shared" si="8"/>
        <v>-6675</v>
      </c>
      <c r="E137" s="15">
        <v>-984</v>
      </c>
      <c r="F137" s="15"/>
      <c r="G137" s="15">
        <f t="shared" si="9"/>
        <v>-984</v>
      </c>
      <c r="H137" s="10" t="s">
        <v>118</v>
      </c>
      <c r="I137" s="10" t="s">
        <v>154</v>
      </c>
      <c r="J137" s="10" t="s">
        <v>111</v>
      </c>
      <c r="K137" s="10" t="s">
        <v>165</v>
      </c>
      <c r="L137" s="10"/>
      <c r="M137" s="10" t="s">
        <v>106</v>
      </c>
    </row>
    <row r="182" spans="1:13" s="13" customFormat="1" ht="15" hidden="1" customHeight="1" x14ac:dyDescent="0.25">
      <c r="A182" s="11">
        <v>1098</v>
      </c>
      <c r="B182" s="12">
        <v>0</v>
      </c>
      <c r="C182" s="12"/>
      <c r="D182" s="12">
        <f>B182+C182</f>
        <v>0</v>
      </c>
      <c r="E182" s="12">
        <v>143</v>
      </c>
      <c r="F182" s="12"/>
      <c r="G182" s="12">
        <f>E182+F182</f>
        <v>143</v>
      </c>
      <c r="H182" s="11" t="s">
        <v>118</v>
      </c>
      <c r="I182" s="11" t="s">
        <v>154</v>
      </c>
      <c r="J182" s="11" t="s">
        <v>108</v>
      </c>
      <c r="K182" s="11" t="s">
        <v>160</v>
      </c>
      <c r="L182" s="11"/>
      <c r="M182" s="11" t="s">
        <v>106</v>
      </c>
    </row>
    <row r="183" spans="1:13" s="13" customFormat="1" ht="15" hidden="1" customHeight="1" x14ac:dyDescent="0.25">
      <c r="A183" s="11">
        <v>1100</v>
      </c>
      <c r="B183" s="12">
        <v>-14892</v>
      </c>
      <c r="C183" s="12"/>
      <c r="D183" s="12">
        <f>B183+C183</f>
        <v>-14892</v>
      </c>
      <c r="E183" s="12">
        <v>0</v>
      </c>
      <c r="F183" s="12"/>
      <c r="G183" s="12">
        <f>E183+F183</f>
        <v>0</v>
      </c>
      <c r="H183" s="11" t="s">
        <v>118</v>
      </c>
      <c r="I183" s="11" t="s">
        <v>154</v>
      </c>
      <c r="J183" s="11" t="s">
        <v>164</v>
      </c>
      <c r="K183" s="11" t="s">
        <v>165</v>
      </c>
      <c r="L183" s="11"/>
      <c r="M183" s="11" t="s">
        <v>106</v>
      </c>
    </row>
    <row r="184" spans="1:13" s="13" customFormat="1" ht="15" hidden="1" customHeight="1" x14ac:dyDescent="0.25">
      <c r="A184" s="11">
        <v>1101</v>
      </c>
      <c r="B184" s="12">
        <v>1207</v>
      </c>
      <c r="C184" s="12"/>
      <c r="D184" s="12">
        <f>B184+C184</f>
        <v>1207</v>
      </c>
      <c r="E184" s="12">
        <v>0</v>
      </c>
      <c r="F184" s="12"/>
      <c r="G184" s="12">
        <f>E184+F184</f>
        <v>0</v>
      </c>
      <c r="H184" s="11" t="s">
        <v>118</v>
      </c>
      <c r="I184" s="11" t="s">
        <v>154</v>
      </c>
      <c r="J184" s="11" t="s">
        <v>164</v>
      </c>
      <c r="K184" s="11" t="s">
        <v>166</v>
      </c>
      <c r="L184" s="11"/>
      <c r="M184" s="11" t="s">
        <v>106</v>
      </c>
    </row>
  </sheetData>
  <autoFilter ref="A2:M137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70"/>
  <sheetViews>
    <sheetView showGridLines="0" zoomScaleNormal="100" workbookViewId="0"/>
  </sheetViews>
  <sheetFormatPr defaultColWidth="8.6328125" defaultRowHeight="14.5" x14ac:dyDescent="0.35"/>
  <cols>
    <col min="1" max="1" width="11" customWidth="1"/>
    <col min="2" max="2" width="46" customWidth="1"/>
    <col min="3" max="3" width="16" customWidth="1"/>
    <col min="4" max="4" width="26" customWidth="1"/>
    <col min="5" max="5" width="13" customWidth="1"/>
    <col min="6" max="6" width="9" customWidth="1"/>
    <col min="7" max="7" width="14" customWidth="1"/>
    <col min="8" max="9" width="16" customWidth="1"/>
    <col min="10" max="10" width="12" customWidth="1"/>
    <col min="11" max="11" width="10" customWidth="1"/>
    <col min="12" max="15" width="15" customWidth="1"/>
  </cols>
  <sheetData>
    <row r="1" spans="1:15" ht="17.25" customHeight="1" x14ac:dyDescent="0.4">
      <c r="A1" s="19" t="s">
        <v>905</v>
      </c>
    </row>
    <row r="2" spans="1:15" ht="15" customHeight="1" x14ac:dyDescent="0.35">
      <c r="A2" s="3"/>
    </row>
    <row r="4" spans="1:15" ht="18" customHeight="1" x14ac:dyDescent="0.35">
      <c r="A4" s="25" t="s">
        <v>924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</row>
    <row r="5" spans="1:15" ht="25.5" customHeight="1" x14ac:dyDescent="0.35">
      <c r="A5" s="1" t="s">
        <v>420</v>
      </c>
      <c r="B5" s="1" t="s">
        <v>421</v>
      </c>
      <c r="C5" s="1" t="s">
        <v>422</v>
      </c>
      <c r="D5" s="1" t="s">
        <v>423</v>
      </c>
      <c r="E5" s="1" t="s">
        <v>424</v>
      </c>
      <c r="F5" s="1" t="s">
        <v>425</v>
      </c>
      <c r="G5" s="1" t="s">
        <v>426</v>
      </c>
      <c r="H5" s="1" t="s">
        <v>427</v>
      </c>
      <c r="I5" s="1" t="s">
        <v>428</v>
      </c>
      <c r="J5" s="1" t="s">
        <v>429</v>
      </c>
      <c r="K5" s="1" t="s">
        <v>430</v>
      </c>
      <c r="L5" s="1" t="s">
        <v>431</v>
      </c>
      <c r="M5" s="1" t="s">
        <v>432</v>
      </c>
      <c r="N5" s="1" t="s">
        <v>433</v>
      </c>
      <c r="O5" s="1" t="s">
        <v>434</v>
      </c>
    </row>
    <row r="6" spans="1:15" ht="15" customHeight="1" x14ac:dyDescent="0.35">
      <c r="A6" s="2" t="s">
        <v>435</v>
      </c>
      <c r="B6" s="2" t="s">
        <v>436</v>
      </c>
      <c r="C6" s="2" t="s">
        <v>437</v>
      </c>
      <c r="D6" s="2" t="s">
        <v>27</v>
      </c>
      <c r="E6" s="2" t="s">
        <v>438</v>
      </c>
      <c r="F6" s="2" t="s">
        <v>439</v>
      </c>
      <c r="G6" s="2" t="s">
        <v>251</v>
      </c>
      <c r="H6" s="2" t="s">
        <v>440</v>
      </c>
      <c r="I6" s="2" t="s">
        <v>441</v>
      </c>
      <c r="J6" s="2" t="s">
        <v>442</v>
      </c>
      <c r="K6" s="2" t="s">
        <v>443</v>
      </c>
      <c r="L6" s="4"/>
      <c r="M6" s="4">
        <v>71044</v>
      </c>
      <c r="N6" s="4">
        <v>24156</v>
      </c>
      <c r="O6" s="4">
        <v>0</v>
      </c>
    </row>
    <row r="7" spans="1:15" ht="15" customHeight="1" x14ac:dyDescent="0.35">
      <c r="A7" s="2" t="s">
        <v>444</v>
      </c>
      <c r="B7" s="2" t="s">
        <v>445</v>
      </c>
      <c r="C7" s="2" t="s">
        <v>437</v>
      </c>
      <c r="D7" s="2" t="s">
        <v>27</v>
      </c>
      <c r="E7" s="2" t="s">
        <v>438</v>
      </c>
      <c r="F7" s="2" t="s">
        <v>439</v>
      </c>
      <c r="G7" s="2" t="s">
        <v>251</v>
      </c>
      <c r="H7" s="2" t="s">
        <v>440</v>
      </c>
      <c r="I7" s="2" t="s">
        <v>441</v>
      </c>
      <c r="J7" s="2" t="s">
        <v>442</v>
      </c>
      <c r="K7" s="2" t="s">
        <v>443</v>
      </c>
      <c r="L7" s="4"/>
      <c r="M7" s="4">
        <v>36533</v>
      </c>
      <c r="N7" s="4">
        <v>55332</v>
      </c>
      <c r="O7" s="4">
        <v>0</v>
      </c>
    </row>
    <row r="8" spans="1:15" ht="15" customHeight="1" x14ac:dyDescent="0.35">
      <c r="A8" s="2" t="s">
        <v>446</v>
      </c>
      <c r="B8" s="2" t="s">
        <v>447</v>
      </c>
      <c r="C8" s="2" t="s">
        <v>437</v>
      </c>
      <c r="D8" s="2" t="s">
        <v>27</v>
      </c>
      <c r="E8" s="2" t="s">
        <v>438</v>
      </c>
      <c r="F8" s="2" t="s">
        <v>439</v>
      </c>
      <c r="G8" s="2" t="s">
        <v>251</v>
      </c>
      <c r="H8" s="2" t="s">
        <v>440</v>
      </c>
      <c r="I8" s="2" t="s">
        <v>441</v>
      </c>
      <c r="J8" s="2" t="s">
        <v>442</v>
      </c>
      <c r="K8" s="2" t="s">
        <v>443</v>
      </c>
      <c r="L8" s="4"/>
      <c r="M8" s="4">
        <v>105349</v>
      </c>
      <c r="N8" s="4">
        <v>25590</v>
      </c>
      <c r="O8" s="4">
        <v>0</v>
      </c>
    </row>
    <row r="9" spans="1:15" ht="15" customHeight="1" x14ac:dyDescent="0.35">
      <c r="A9" s="2" t="s">
        <v>448</v>
      </c>
      <c r="B9" s="2" t="s">
        <v>449</v>
      </c>
      <c r="C9" s="2" t="s">
        <v>437</v>
      </c>
      <c r="D9" s="2" t="s">
        <v>27</v>
      </c>
      <c r="E9" s="2" t="s">
        <v>438</v>
      </c>
      <c r="F9" s="2" t="s">
        <v>439</v>
      </c>
      <c r="G9" s="2" t="s">
        <v>251</v>
      </c>
      <c r="H9" s="2" t="s">
        <v>440</v>
      </c>
      <c r="I9" s="2" t="s">
        <v>441</v>
      </c>
      <c r="J9" s="2" t="s">
        <v>442</v>
      </c>
      <c r="K9" s="2" t="s">
        <v>443</v>
      </c>
      <c r="L9" s="4"/>
      <c r="M9" s="4">
        <v>101663</v>
      </c>
      <c r="N9" s="4">
        <v>61767</v>
      </c>
      <c r="O9" s="4">
        <v>0</v>
      </c>
    </row>
    <row r="10" spans="1:15" ht="15" customHeight="1" x14ac:dyDescent="0.35">
      <c r="A10" s="2" t="s">
        <v>450</v>
      </c>
      <c r="B10" s="2" t="s">
        <v>451</v>
      </c>
      <c r="C10" s="2" t="s">
        <v>437</v>
      </c>
      <c r="D10" s="2" t="s">
        <v>27</v>
      </c>
      <c r="E10" s="2" t="s">
        <v>452</v>
      </c>
      <c r="F10" s="2" t="s">
        <v>453</v>
      </c>
      <c r="G10" s="2" t="s">
        <v>251</v>
      </c>
      <c r="H10" s="2" t="s">
        <v>440</v>
      </c>
      <c r="I10" s="2" t="s">
        <v>441</v>
      </c>
      <c r="J10" s="2" t="s">
        <v>442</v>
      </c>
      <c r="K10" s="2" t="s">
        <v>443</v>
      </c>
      <c r="L10" s="4"/>
      <c r="M10" s="4">
        <v>511967</v>
      </c>
      <c r="N10" s="4">
        <v>442798</v>
      </c>
      <c r="O10" s="4">
        <v>0</v>
      </c>
    </row>
    <row r="11" spans="1:15" ht="15" customHeight="1" x14ac:dyDescent="0.35">
      <c r="A11" s="2" t="s">
        <v>454</v>
      </c>
      <c r="B11" s="2" t="s">
        <v>455</v>
      </c>
      <c r="C11" s="2" t="s">
        <v>437</v>
      </c>
      <c r="D11" s="2" t="s">
        <v>27</v>
      </c>
      <c r="E11" s="2" t="s">
        <v>452</v>
      </c>
      <c r="F11" s="2" t="s">
        <v>453</v>
      </c>
      <c r="G11" s="2" t="s">
        <v>251</v>
      </c>
      <c r="H11" s="2" t="s">
        <v>440</v>
      </c>
      <c r="I11" s="2" t="s">
        <v>441</v>
      </c>
      <c r="J11" s="2" t="s">
        <v>442</v>
      </c>
      <c r="K11" s="2" t="s">
        <v>443</v>
      </c>
      <c r="L11" s="4"/>
      <c r="M11" s="4">
        <v>287695</v>
      </c>
      <c r="N11" s="4">
        <v>409577</v>
      </c>
      <c r="O11" s="4">
        <v>0</v>
      </c>
    </row>
    <row r="12" spans="1:15" ht="15" customHeight="1" x14ac:dyDescent="0.35">
      <c r="A12" s="2" t="s">
        <v>456</v>
      </c>
      <c r="B12" s="2" t="s">
        <v>457</v>
      </c>
      <c r="C12" s="2" t="s">
        <v>437</v>
      </c>
      <c r="D12" s="2" t="s">
        <v>27</v>
      </c>
      <c r="E12" s="2" t="s">
        <v>452</v>
      </c>
      <c r="F12" s="2" t="s">
        <v>453</v>
      </c>
      <c r="G12" s="2" t="s">
        <v>251</v>
      </c>
      <c r="H12" s="2" t="s">
        <v>440</v>
      </c>
      <c r="I12" s="2" t="s">
        <v>441</v>
      </c>
      <c r="J12" s="2" t="s">
        <v>442</v>
      </c>
      <c r="K12" s="2" t="s">
        <v>443</v>
      </c>
      <c r="L12" s="4"/>
      <c r="M12" s="4">
        <v>400335</v>
      </c>
      <c r="N12" s="4">
        <v>356800</v>
      </c>
      <c r="O12" s="4">
        <v>0</v>
      </c>
    </row>
    <row r="13" spans="1:15" ht="15" customHeight="1" x14ac:dyDescent="0.35">
      <c r="A13" s="2" t="s">
        <v>458</v>
      </c>
      <c r="B13" s="2" t="s">
        <v>459</v>
      </c>
      <c r="C13" s="2" t="s">
        <v>437</v>
      </c>
      <c r="D13" s="2" t="s">
        <v>27</v>
      </c>
      <c r="E13" s="2" t="s">
        <v>452</v>
      </c>
      <c r="F13" s="2" t="s">
        <v>453</v>
      </c>
      <c r="G13" s="2" t="s">
        <v>251</v>
      </c>
      <c r="H13" s="2" t="s">
        <v>440</v>
      </c>
      <c r="I13" s="2" t="s">
        <v>441</v>
      </c>
      <c r="J13" s="2" t="s">
        <v>442</v>
      </c>
      <c r="K13" s="2" t="s">
        <v>443</v>
      </c>
      <c r="L13" s="4"/>
      <c r="M13" s="4">
        <v>407216</v>
      </c>
      <c r="N13" s="4">
        <v>166640</v>
      </c>
      <c r="O13" s="4">
        <v>0</v>
      </c>
    </row>
    <row r="14" spans="1:15" ht="15" customHeight="1" x14ac:dyDescent="0.35">
      <c r="A14" s="2" t="s">
        <v>460</v>
      </c>
      <c r="B14" s="2" t="s">
        <v>461</v>
      </c>
      <c r="C14" s="2" t="s">
        <v>437</v>
      </c>
      <c r="D14" s="2" t="s">
        <v>27</v>
      </c>
      <c r="E14" s="2" t="s">
        <v>452</v>
      </c>
      <c r="F14" s="2" t="s">
        <v>453</v>
      </c>
      <c r="G14" s="2" t="s">
        <v>251</v>
      </c>
      <c r="H14" s="2" t="s">
        <v>440</v>
      </c>
      <c r="I14" s="2" t="s">
        <v>441</v>
      </c>
      <c r="J14" s="2" t="s">
        <v>442</v>
      </c>
      <c r="K14" s="2" t="s">
        <v>443</v>
      </c>
      <c r="L14" s="4"/>
      <c r="M14" s="4">
        <v>184131</v>
      </c>
      <c r="N14" s="4">
        <v>205487</v>
      </c>
      <c r="O14" s="4">
        <v>0</v>
      </c>
    </row>
    <row r="15" spans="1:15" s="22" customFormat="1" ht="15" customHeight="1" x14ac:dyDescent="0.35">
      <c r="A15" s="20" t="s">
        <v>462</v>
      </c>
      <c r="B15" s="20" t="s">
        <v>463</v>
      </c>
      <c r="C15" s="20" t="s">
        <v>437</v>
      </c>
      <c r="D15" s="20" t="s">
        <v>29</v>
      </c>
      <c r="E15" s="20" t="s">
        <v>438</v>
      </c>
      <c r="F15" s="20" t="s">
        <v>439</v>
      </c>
      <c r="G15" s="20" t="s">
        <v>251</v>
      </c>
      <c r="H15" s="20" t="s">
        <v>443</v>
      </c>
      <c r="I15" s="20" t="s">
        <v>443</v>
      </c>
      <c r="J15" s="20" t="s">
        <v>464</v>
      </c>
      <c r="K15" s="20" t="s">
        <v>443</v>
      </c>
      <c r="L15" s="21"/>
      <c r="M15" s="21">
        <v>38300</v>
      </c>
      <c r="N15" s="21">
        <v>17264</v>
      </c>
      <c r="O15" s="21">
        <v>0</v>
      </c>
    </row>
    <row r="16" spans="1:15" ht="15" customHeight="1" x14ac:dyDescent="0.35">
      <c r="A16" s="2" t="s">
        <v>465</v>
      </c>
      <c r="B16" s="2" t="s">
        <v>466</v>
      </c>
      <c r="C16" s="2" t="s">
        <v>437</v>
      </c>
      <c r="D16" s="2" t="s">
        <v>30</v>
      </c>
      <c r="E16" s="2" t="s">
        <v>438</v>
      </c>
      <c r="F16" s="2" t="s">
        <v>439</v>
      </c>
      <c r="G16" s="2" t="s">
        <v>251</v>
      </c>
      <c r="H16" s="2" t="s">
        <v>443</v>
      </c>
      <c r="I16" s="2" t="s">
        <v>443</v>
      </c>
      <c r="J16" s="2" t="s">
        <v>467</v>
      </c>
      <c r="K16" s="2" t="s">
        <v>443</v>
      </c>
      <c r="L16" s="4"/>
      <c r="M16" s="4">
        <v>222695</v>
      </c>
      <c r="N16" s="4">
        <v>187322</v>
      </c>
      <c r="O16" s="4">
        <v>0</v>
      </c>
    </row>
    <row r="17" spans="1:15" ht="15" customHeight="1" x14ac:dyDescent="0.35">
      <c r="A17" s="2" t="s">
        <v>468</v>
      </c>
      <c r="B17" s="2" t="s">
        <v>469</v>
      </c>
      <c r="C17" s="2" t="s">
        <v>437</v>
      </c>
      <c r="D17" s="2" t="s">
        <v>30</v>
      </c>
      <c r="E17" s="2" t="s">
        <v>438</v>
      </c>
      <c r="F17" s="2" t="s">
        <v>439</v>
      </c>
      <c r="G17" s="2" t="s">
        <v>251</v>
      </c>
      <c r="H17" s="2" t="s">
        <v>443</v>
      </c>
      <c r="I17" s="2" t="s">
        <v>443</v>
      </c>
      <c r="J17" s="2" t="s">
        <v>467</v>
      </c>
      <c r="K17" s="2" t="s">
        <v>443</v>
      </c>
      <c r="L17" s="4"/>
      <c r="M17" s="4">
        <v>114856</v>
      </c>
      <c r="N17" s="4">
        <v>225887</v>
      </c>
      <c r="O17" s="4">
        <v>0</v>
      </c>
    </row>
    <row r="18" spans="1:15" ht="15" customHeight="1" x14ac:dyDescent="0.35">
      <c r="A18" s="2" t="s">
        <v>470</v>
      </c>
      <c r="B18" s="2" t="s">
        <v>471</v>
      </c>
      <c r="C18" s="2" t="s">
        <v>437</v>
      </c>
      <c r="D18" s="2" t="s">
        <v>30</v>
      </c>
      <c r="E18" s="2" t="s">
        <v>438</v>
      </c>
      <c r="F18" s="2" t="s">
        <v>439</v>
      </c>
      <c r="G18" s="2" t="s">
        <v>251</v>
      </c>
      <c r="H18" s="2" t="s">
        <v>443</v>
      </c>
      <c r="I18" s="2" t="s">
        <v>443</v>
      </c>
      <c r="J18" s="2" t="s">
        <v>467</v>
      </c>
      <c r="K18" s="2" t="s">
        <v>443</v>
      </c>
      <c r="L18" s="4"/>
      <c r="M18" s="4">
        <v>204883</v>
      </c>
      <c r="N18" s="4">
        <v>46791</v>
      </c>
      <c r="O18" s="4">
        <v>0</v>
      </c>
    </row>
    <row r="19" spans="1:15" ht="15" customHeight="1" x14ac:dyDescent="0.35">
      <c r="A19" s="2" t="s">
        <v>472</v>
      </c>
      <c r="B19" s="2" t="s">
        <v>473</v>
      </c>
      <c r="C19" s="2" t="s">
        <v>437</v>
      </c>
      <c r="D19" s="2" t="s">
        <v>30</v>
      </c>
      <c r="E19" s="2" t="s">
        <v>452</v>
      </c>
      <c r="F19" s="2" t="s">
        <v>453</v>
      </c>
      <c r="G19" s="2" t="s">
        <v>251</v>
      </c>
      <c r="H19" s="2" t="s">
        <v>443</v>
      </c>
      <c r="I19" s="2" t="s">
        <v>443</v>
      </c>
      <c r="J19" s="2" t="s">
        <v>467</v>
      </c>
      <c r="K19" s="2" t="s">
        <v>443</v>
      </c>
      <c r="L19" s="4"/>
      <c r="M19" s="4">
        <v>26528</v>
      </c>
      <c r="N19" s="4">
        <v>22589</v>
      </c>
      <c r="O19" s="4">
        <v>0</v>
      </c>
    </row>
    <row r="20" spans="1:15" ht="15" customHeight="1" x14ac:dyDescent="0.35">
      <c r="A20" s="2" t="s">
        <v>474</v>
      </c>
      <c r="B20" s="2" t="s">
        <v>475</v>
      </c>
      <c r="C20" s="2" t="s">
        <v>437</v>
      </c>
      <c r="D20" s="2" t="s">
        <v>31</v>
      </c>
      <c r="E20" s="2" t="s">
        <v>452</v>
      </c>
      <c r="F20" s="2" t="s">
        <v>453</v>
      </c>
      <c r="G20" s="2" t="s">
        <v>387</v>
      </c>
      <c r="H20" s="2" t="s">
        <v>476</v>
      </c>
      <c r="I20" s="2" t="s">
        <v>477</v>
      </c>
      <c r="J20" s="2" t="s">
        <v>467</v>
      </c>
      <c r="K20" s="2" t="s">
        <v>443</v>
      </c>
      <c r="L20" s="4"/>
      <c r="M20" s="4">
        <v>21720</v>
      </c>
      <c r="N20" s="4">
        <v>6618</v>
      </c>
      <c r="O20" s="4">
        <v>0</v>
      </c>
    </row>
    <row r="23" spans="1:15" ht="18" customHeight="1" x14ac:dyDescent="0.35">
      <c r="A23" s="25" t="s">
        <v>925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</row>
    <row r="24" spans="1:15" ht="25.5" customHeight="1" x14ac:dyDescent="0.35">
      <c r="A24" s="1" t="s">
        <v>420</v>
      </c>
      <c r="B24" s="1" t="s">
        <v>421</v>
      </c>
      <c r="C24" s="1" t="s">
        <v>422</v>
      </c>
      <c r="D24" s="1" t="s">
        <v>423</v>
      </c>
      <c r="E24" s="1" t="s">
        <v>424</v>
      </c>
      <c r="F24" s="1" t="s">
        <v>425</v>
      </c>
      <c r="G24" s="1" t="s">
        <v>426</v>
      </c>
      <c r="H24" s="1" t="s">
        <v>427</v>
      </c>
      <c r="I24" s="1" t="s">
        <v>428</v>
      </c>
      <c r="J24" s="1" t="s">
        <v>429</v>
      </c>
      <c r="K24" s="1" t="s">
        <v>430</v>
      </c>
      <c r="L24" s="1" t="s">
        <v>431</v>
      </c>
      <c r="M24" s="1" t="s">
        <v>432</v>
      </c>
      <c r="N24" s="1" t="s">
        <v>433</v>
      </c>
      <c r="O24" s="1" t="s">
        <v>434</v>
      </c>
    </row>
    <row r="25" spans="1:15" ht="15" customHeight="1" x14ac:dyDescent="0.35">
      <c r="A25" s="2" t="s">
        <v>478</v>
      </c>
      <c r="B25" s="2" t="s">
        <v>479</v>
      </c>
      <c r="C25" s="2" t="s">
        <v>480</v>
      </c>
      <c r="D25" s="2" t="s">
        <v>30</v>
      </c>
      <c r="E25" s="2" t="s">
        <v>438</v>
      </c>
      <c r="F25" s="2" t="s">
        <v>439</v>
      </c>
      <c r="G25" s="2" t="s">
        <v>251</v>
      </c>
      <c r="H25" s="2" t="s">
        <v>443</v>
      </c>
      <c r="I25" s="2" t="s">
        <v>443</v>
      </c>
      <c r="J25" s="2" t="s">
        <v>467</v>
      </c>
      <c r="K25" s="2" t="s">
        <v>443</v>
      </c>
      <c r="L25" s="4"/>
      <c r="M25" s="4">
        <v>110671</v>
      </c>
      <c r="N25" s="4">
        <v>81523</v>
      </c>
      <c r="O25" s="4">
        <v>0</v>
      </c>
    </row>
    <row r="26" spans="1:15" ht="15" customHeight="1" x14ac:dyDescent="0.35">
      <c r="A26" s="2" t="s">
        <v>481</v>
      </c>
      <c r="B26" s="2" t="s">
        <v>482</v>
      </c>
      <c r="C26" s="2" t="s">
        <v>480</v>
      </c>
      <c r="D26" s="2" t="s">
        <v>30</v>
      </c>
      <c r="E26" s="2" t="s">
        <v>438</v>
      </c>
      <c r="F26" s="2" t="s">
        <v>439</v>
      </c>
      <c r="G26" s="2" t="s">
        <v>251</v>
      </c>
      <c r="H26" s="2" t="s">
        <v>443</v>
      </c>
      <c r="I26" s="2" t="s">
        <v>443</v>
      </c>
      <c r="J26" s="2" t="s">
        <v>467</v>
      </c>
      <c r="K26" s="2" t="s">
        <v>443</v>
      </c>
      <c r="L26" s="4"/>
      <c r="M26" s="4">
        <v>45380</v>
      </c>
      <c r="N26" s="4">
        <v>103188</v>
      </c>
      <c r="O26" s="4">
        <v>0</v>
      </c>
    </row>
    <row r="27" spans="1:15" ht="15" customHeight="1" x14ac:dyDescent="0.35">
      <c r="A27" s="2" t="s">
        <v>483</v>
      </c>
      <c r="B27" s="2" t="s">
        <v>484</v>
      </c>
      <c r="C27" s="2" t="s">
        <v>480</v>
      </c>
      <c r="D27" s="2" t="s">
        <v>30</v>
      </c>
      <c r="E27" s="2" t="s">
        <v>438</v>
      </c>
      <c r="F27" s="2" t="s">
        <v>439</v>
      </c>
      <c r="G27" s="2" t="s">
        <v>251</v>
      </c>
      <c r="H27" s="2" t="s">
        <v>443</v>
      </c>
      <c r="I27" s="2" t="s">
        <v>443</v>
      </c>
      <c r="J27" s="2" t="s">
        <v>467</v>
      </c>
      <c r="K27" s="2" t="s">
        <v>443</v>
      </c>
      <c r="L27" s="4"/>
      <c r="M27" s="4">
        <v>122928</v>
      </c>
      <c r="N27" s="4">
        <v>97767</v>
      </c>
      <c r="O27" s="4">
        <v>0</v>
      </c>
    </row>
    <row r="28" spans="1:15" ht="15" customHeight="1" x14ac:dyDescent="0.35">
      <c r="A28" s="2" t="s">
        <v>485</v>
      </c>
      <c r="B28" s="2" t="s">
        <v>486</v>
      </c>
      <c r="C28" s="2" t="s">
        <v>480</v>
      </c>
      <c r="D28" s="2" t="s">
        <v>30</v>
      </c>
      <c r="E28" s="2" t="s">
        <v>452</v>
      </c>
      <c r="F28" s="2" t="s">
        <v>453</v>
      </c>
      <c r="G28" s="2" t="s">
        <v>251</v>
      </c>
      <c r="H28" s="2" t="s">
        <v>443</v>
      </c>
      <c r="I28" s="2" t="s">
        <v>443</v>
      </c>
      <c r="J28" s="2" t="s">
        <v>467</v>
      </c>
      <c r="K28" s="2" t="s">
        <v>443</v>
      </c>
      <c r="L28" s="4"/>
      <c r="M28" s="4">
        <v>1880</v>
      </c>
      <c r="N28" s="4">
        <v>1429</v>
      </c>
      <c r="O28" s="4">
        <v>0</v>
      </c>
    </row>
    <row r="29" spans="1:15" ht="15" customHeight="1" x14ac:dyDescent="0.35">
      <c r="A29" s="2" t="s">
        <v>487</v>
      </c>
      <c r="B29" s="2" t="s">
        <v>488</v>
      </c>
      <c r="C29" s="2" t="s">
        <v>480</v>
      </c>
      <c r="D29" s="2" t="s">
        <v>33</v>
      </c>
      <c r="E29" s="2" t="s">
        <v>438</v>
      </c>
      <c r="F29" s="2" t="s">
        <v>439</v>
      </c>
      <c r="G29" s="2" t="s">
        <v>489</v>
      </c>
      <c r="H29" s="2" t="s">
        <v>490</v>
      </c>
      <c r="I29" s="2" t="s">
        <v>491</v>
      </c>
      <c r="J29" s="2" t="s">
        <v>492</v>
      </c>
      <c r="K29" s="2" t="s">
        <v>493</v>
      </c>
      <c r="L29" s="4"/>
      <c r="M29" s="4">
        <v>171803</v>
      </c>
      <c r="N29" s="4">
        <v>323675</v>
      </c>
      <c r="O29" s="4">
        <v>0</v>
      </c>
    </row>
    <row r="30" spans="1:15" ht="15" customHeight="1" x14ac:dyDescent="0.35">
      <c r="A30" s="2" t="s">
        <v>494</v>
      </c>
      <c r="B30" s="2" t="s">
        <v>495</v>
      </c>
      <c r="C30" s="2" t="s">
        <v>480</v>
      </c>
      <c r="D30" s="2" t="s">
        <v>33</v>
      </c>
      <c r="E30" s="2" t="s">
        <v>438</v>
      </c>
      <c r="F30" s="2" t="s">
        <v>439</v>
      </c>
      <c r="G30" s="2" t="s">
        <v>496</v>
      </c>
      <c r="H30" s="2" t="s">
        <v>497</v>
      </c>
      <c r="I30" s="2" t="s">
        <v>498</v>
      </c>
      <c r="J30" s="2" t="s">
        <v>499</v>
      </c>
      <c r="K30" s="2" t="s">
        <v>493</v>
      </c>
      <c r="L30" s="4"/>
      <c r="M30" s="4">
        <v>759164</v>
      </c>
      <c r="N30" s="4">
        <v>221964</v>
      </c>
      <c r="O30" s="4">
        <v>0</v>
      </c>
    </row>
    <row r="31" spans="1:15" ht="15" customHeight="1" x14ac:dyDescent="0.35">
      <c r="A31" s="2" t="s">
        <v>500</v>
      </c>
      <c r="B31" s="2" t="s">
        <v>501</v>
      </c>
      <c r="C31" s="2" t="s">
        <v>480</v>
      </c>
      <c r="D31" s="2" t="s">
        <v>33</v>
      </c>
      <c r="E31" s="2" t="s">
        <v>438</v>
      </c>
      <c r="F31" s="2" t="s">
        <v>439</v>
      </c>
      <c r="G31" s="2" t="s">
        <v>502</v>
      </c>
      <c r="H31" s="2" t="s">
        <v>503</v>
      </c>
      <c r="I31" s="2" t="s">
        <v>504</v>
      </c>
      <c r="J31" s="2" t="s">
        <v>505</v>
      </c>
      <c r="K31" s="2" t="s">
        <v>493</v>
      </c>
      <c r="L31" s="4"/>
      <c r="M31" s="4">
        <v>657037</v>
      </c>
      <c r="N31" s="4">
        <v>625854</v>
      </c>
      <c r="O31" s="4">
        <v>0</v>
      </c>
    </row>
    <row r="32" spans="1:15" ht="15" customHeight="1" x14ac:dyDescent="0.35">
      <c r="A32" s="2" t="s">
        <v>506</v>
      </c>
      <c r="B32" s="2" t="s">
        <v>507</v>
      </c>
      <c r="C32" s="2" t="s">
        <v>480</v>
      </c>
      <c r="D32" s="2" t="s">
        <v>33</v>
      </c>
      <c r="E32" s="2" t="s">
        <v>438</v>
      </c>
      <c r="F32" s="2" t="s">
        <v>439</v>
      </c>
      <c r="G32" s="2" t="s">
        <v>387</v>
      </c>
      <c r="H32" s="2" t="s">
        <v>508</v>
      </c>
      <c r="I32" s="2" t="s">
        <v>509</v>
      </c>
      <c r="J32" s="2" t="s">
        <v>510</v>
      </c>
      <c r="K32" s="2" t="s">
        <v>493</v>
      </c>
      <c r="L32" s="4"/>
      <c r="M32" s="4">
        <v>162904</v>
      </c>
      <c r="N32" s="4">
        <v>325480</v>
      </c>
      <c r="O32" s="4">
        <v>0</v>
      </c>
    </row>
    <row r="33" spans="1:15" ht="15" customHeight="1" x14ac:dyDescent="0.35">
      <c r="A33" s="2" t="s">
        <v>511</v>
      </c>
      <c r="B33" s="2" t="s">
        <v>512</v>
      </c>
      <c r="C33" s="2" t="s">
        <v>480</v>
      </c>
      <c r="D33" s="2" t="s">
        <v>33</v>
      </c>
      <c r="E33" s="2" t="s">
        <v>438</v>
      </c>
      <c r="F33" s="2" t="s">
        <v>439</v>
      </c>
      <c r="G33" s="2" t="s">
        <v>381</v>
      </c>
      <c r="H33" s="2" t="s">
        <v>513</v>
      </c>
      <c r="I33" s="2" t="s">
        <v>514</v>
      </c>
      <c r="J33" s="2" t="s">
        <v>515</v>
      </c>
      <c r="K33" s="2" t="s">
        <v>493</v>
      </c>
      <c r="L33" s="4"/>
      <c r="M33" s="4">
        <v>536248</v>
      </c>
      <c r="N33" s="4">
        <v>596233</v>
      </c>
      <c r="O33" s="4">
        <v>0</v>
      </c>
    </row>
    <row r="34" spans="1:15" ht="15" customHeight="1" x14ac:dyDescent="0.35">
      <c r="A34" s="2" t="s">
        <v>516</v>
      </c>
      <c r="B34" s="2" t="s">
        <v>517</v>
      </c>
      <c r="C34" s="2" t="s">
        <v>480</v>
      </c>
      <c r="D34" s="2" t="s">
        <v>33</v>
      </c>
      <c r="E34" s="2" t="s">
        <v>452</v>
      </c>
      <c r="F34" s="2" t="s">
        <v>453</v>
      </c>
      <c r="G34" s="2" t="s">
        <v>496</v>
      </c>
      <c r="H34" s="2" t="s">
        <v>497</v>
      </c>
      <c r="I34" s="2" t="s">
        <v>509</v>
      </c>
      <c r="J34" s="2" t="s">
        <v>499</v>
      </c>
      <c r="K34" s="2" t="s">
        <v>493</v>
      </c>
      <c r="L34" s="4"/>
      <c r="M34" s="4">
        <v>212636</v>
      </c>
      <c r="N34" s="4">
        <v>206172</v>
      </c>
      <c r="O34" s="4">
        <v>0</v>
      </c>
    </row>
    <row r="35" spans="1:15" ht="15" customHeight="1" x14ac:dyDescent="0.35">
      <c r="A35" s="2" t="s">
        <v>518</v>
      </c>
      <c r="B35" s="2" t="s">
        <v>519</v>
      </c>
      <c r="C35" s="2" t="s">
        <v>480</v>
      </c>
      <c r="D35" s="2" t="s">
        <v>34</v>
      </c>
      <c r="E35" s="2" t="s">
        <v>438</v>
      </c>
      <c r="F35" s="2" t="s">
        <v>439</v>
      </c>
      <c r="G35" s="2" t="s">
        <v>502</v>
      </c>
      <c r="H35" s="2" t="s">
        <v>520</v>
      </c>
      <c r="I35" s="2" t="s">
        <v>521</v>
      </c>
      <c r="J35" s="2" t="s">
        <v>505</v>
      </c>
      <c r="K35" s="2" t="s">
        <v>493</v>
      </c>
      <c r="L35" s="4"/>
      <c r="M35" s="4">
        <v>516379</v>
      </c>
      <c r="N35" s="4">
        <v>391921</v>
      </c>
      <c r="O35" s="4">
        <v>0</v>
      </c>
    </row>
    <row r="36" spans="1:15" ht="15" customHeight="1" x14ac:dyDescent="0.35">
      <c r="A36" s="2" t="s">
        <v>522</v>
      </c>
      <c r="B36" s="2" t="s">
        <v>523</v>
      </c>
      <c r="C36" s="2" t="s">
        <v>480</v>
      </c>
      <c r="D36" s="2" t="s">
        <v>34</v>
      </c>
      <c r="E36" s="2" t="s">
        <v>438</v>
      </c>
      <c r="F36" s="2" t="s">
        <v>439</v>
      </c>
      <c r="G36" s="2" t="s">
        <v>502</v>
      </c>
      <c r="H36" s="2" t="s">
        <v>520</v>
      </c>
      <c r="I36" s="2" t="s">
        <v>521</v>
      </c>
      <c r="J36" s="2" t="s">
        <v>505</v>
      </c>
      <c r="K36" s="2" t="s">
        <v>493</v>
      </c>
      <c r="L36" s="4"/>
      <c r="M36" s="4">
        <v>191270</v>
      </c>
      <c r="N36" s="4">
        <v>308079</v>
      </c>
      <c r="O36" s="4">
        <v>0</v>
      </c>
    </row>
    <row r="37" spans="1:15" ht="15" customHeight="1" x14ac:dyDescent="0.35">
      <c r="A37" s="2" t="s">
        <v>524</v>
      </c>
      <c r="B37" s="2" t="s">
        <v>525</v>
      </c>
      <c r="C37" s="2" t="s">
        <v>480</v>
      </c>
      <c r="D37" s="2" t="s">
        <v>35</v>
      </c>
      <c r="E37" s="2" t="s">
        <v>438</v>
      </c>
      <c r="F37" s="2" t="s">
        <v>439</v>
      </c>
      <c r="G37" s="2" t="s">
        <v>526</v>
      </c>
      <c r="H37" s="2" t="s">
        <v>527</v>
      </c>
      <c r="I37" s="2" t="s">
        <v>528</v>
      </c>
      <c r="J37" s="2" t="s">
        <v>492</v>
      </c>
      <c r="K37" s="2" t="s">
        <v>493</v>
      </c>
      <c r="L37" s="4"/>
      <c r="M37" s="4">
        <v>1052247</v>
      </c>
      <c r="N37" s="4">
        <v>1559387</v>
      </c>
      <c r="O37" s="4">
        <v>0</v>
      </c>
    </row>
    <row r="38" spans="1:15" ht="15" customHeight="1" x14ac:dyDescent="0.35">
      <c r="A38" s="2" t="s">
        <v>529</v>
      </c>
      <c r="B38" s="2" t="s">
        <v>530</v>
      </c>
      <c r="C38" s="2" t="s">
        <v>480</v>
      </c>
      <c r="D38" s="2" t="s">
        <v>35</v>
      </c>
      <c r="E38" s="2" t="s">
        <v>438</v>
      </c>
      <c r="F38" s="2" t="s">
        <v>439</v>
      </c>
      <c r="G38" s="2" t="s">
        <v>531</v>
      </c>
      <c r="H38" s="2" t="s">
        <v>520</v>
      </c>
      <c r="I38" s="2" t="s">
        <v>532</v>
      </c>
      <c r="J38" s="2" t="s">
        <v>499</v>
      </c>
      <c r="K38" s="2" t="s">
        <v>493</v>
      </c>
      <c r="L38" s="4"/>
      <c r="M38" s="4">
        <v>876944</v>
      </c>
      <c r="N38" s="4">
        <v>668782</v>
      </c>
      <c r="O38" s="4">
        <v>0</v>
      </c>
    </row>
    <row r="39" spans="1:15" ht="15" customHeight="1" x14ac:dyDescent="0.35">
      <c r="A39" s="2" t="s">
        <v>533</v>
      </c>
      <c r="B39" s="2" t="s">
        <v>534</v>
      </c>
      <c r="C39" s="2" t="s">
        <v>480</v>
      </c>
      <c r="D39" s="2" t="s">
        <v>35</v>
      </c>
      <c r="E39" s="2" t="s">
        <v>438</v>
      </c>
      <c r="F39" s="2" t="s">
        <v>439</v>
      </c>
      <c r="G39" s="2" t="s">
        <v>489</v>
      </c>
      <c r="H39" s="2" t="s">
        <v>490</v>
      </c>
      <c r="I39" s="2" t="s">
        <v>491</v>
      </c>
      <c r="J39" s="2" t="s">
        <v>505</v>
      </c>
      <c r="K39" s="2" t="s">
        <v>493</v>
      </c>
      <c r="L39" s="4"/>
      <c r="M39" s="4">
        <v>1422175</v>
      </c>
      <c r="N39" s="4">
        <v>528018</v>
      </c>
      <c r="O39" s="4">
        <v>0</v>
      </c>
    </row>
    <row r="40" spans="1:15" ht="15" customHeight="1" x14ac:dyDescent="0.35">
      <c r="A40" s="2" t="s">
        <v>535</v>
      </c>
      <c r="B40" s="2" t="s">
        <v>536</v>
      </c>
      <c r="C40" s="2" t="s">
        <v>480</v>
      </c>
      <c r="D40" s="2" t="s">
        <v>35</v>
      </c>
      <c r="E40" s="2" t="s">
        <v>438</v>
      </c>
      <c r="F40" s="2" t="s">
        <v>439</v>
      </c>
      <c r="G40" s="2" t="s">
        <v>496</v>
      </c>
      <c r="H40" s="2" t="s">
        <v>497</v>
      </c>
      <c r="I40" s="2" t="s">
        <v>537</v>
      </c>
      <c r="J40" s="2" t="s">
        <v>510</v>
      </c>
      <c r="K40" s="2" t="s">
        <v>493</v>
      </c>
      <c r="L40" s="4"/>
      <c r="M40" s="4">
        <v>863635</v>
      </c>
      <c r="N40" s="4">
        <v>971695</v>
      </c>
      <c r="O40" s="4">
        <v>0</v>
      </c>
    </row>
    <row r="41" spans="1:15" ht="15" customHeight="1" x14ac:dyDescent="0.35">
      <c r="A41" s="2" t="s">
        <v>538</v>
      </c>
      <c r="B41" s="2" t="s">
        <v>539</v>
      </c>
      <c r="C41" s="2" t="s">
        <v>480</v>
      </c>
      <c r="D41" s="2" t="s">
        <v>35</v>
      </c>
      <c r="E41" s="2" t="s">
        <v>438</v>
      </c>
      <c r="F41" s="2" t="s">
        <v>439</v>
      </c>
      <c r="G41" s="2" t="s">
        <v>502</v>
      </c>
      <c r="H41" s="2" t="s">
        <v>503</v>
      </c>
      <c r="I41" s="2" t="s">
        <v>540</v>
      </c>
      <c r="J41" s="2" t="s">
        <v>515</v>
      </c>
      <c r="K41" s="2" t="s">
        <v>493</v>
      </c>
      <c r="L41" s="4"/>
      <c r="M41" s="4">
        <v>1437941</v>
      </c>
      <c r="N41" s="4">
        <v>1655577</v>
      </c>
      <c r="O41" s="4">
        <v>0</v>
      </c>
    </row>
    <row r="42" spans="1:15" ht="15" customHeight="1" x14ac:dyDescent="0.35">
      <c r="A42" s="2" t="s">
        <v>541</v>
      </c>
      <c r="B42" s="2" t="s">
        <v>542</v>
      </c>
      <c r="C42" s="2" t="s">
        <v>480</v>
      </c>
      <c r="D42" s="2" t="s">
        <v>35</v>
      </c>
      <c r="E42" s="2" t="s">
        <v>438</v>
      </c>
      <c r="F42" s="2" t="s">
        <v>439</v>
      </c>
      <c r="G42" s="2" t="s">
        <v>387</v>
      </c>
      <c r="H42" s="2" t="s">
        <v>508</v>
      </c>
      <c r="I42" s="2" t="s">
        <v>543</v>
      </c>
      <c r="J42" s="2" t="s">
        <v>492</v>
      </c>
      <c r="K42" s="2" t="s">
        <v>493</v>
      </c>
      <c r="L42" s="4"/>
      <c r="M42" s="4">
        <v>767973</v>
      </c>
      <c r="N42" s="4">
        <v>873080</v>
      </c>
      <c r="O42" s="4">
        <v>0</v>
      </c>
    </row>
    <row r="43" spans="1:15" ht="15" customHeight="1" x14ac:dyDescent="0.35">
      <c r="A43" s="2" t="s">
        <v>544</v>
      </c>
      <c r="B43" s="2" t="s">
        <v>545</v>
      </c>
      <c r="C43" s="2" t="s">
        <v>480</v>
      </c>
      <c r="D43" s="2" t="s">
        <v>35</v>
      </c>
      <c r="E43" s="2" t="s">
        <v>438</v>
      </c>
      <c r="F43" s="2" t="s">
        <v>439</v>
      </c>
      <c r="G43" s="2" t="s">
        <v>381</v>
      </c>
      <c r="H43" s="2" t="s">
        <v>513</v>
      </c>
      <c r="I43" s="2" t="s">
        <v>509</v>
      </c>
      <c r="J43" s="2" t="s">
        <v>499</v>
      </c>
      <c r="K43" s="2" t="s">
        <v>493</v>
      </c>
      <c r="L43" s="4"/>
      <c r="M43" s="4">
        <v>1717186</v>
      </c>
      <c r="N43" s="4">
        <v>1854019</v>
      </c>
      <c r="O43" s="4">
        <v>0</v>
      </c>
    </row>
    <row r="44" spans="1:15" ht="15" customHeight="1" x14ac:dyDescent="0.35">
      <c r="A44" s="2" t="s">
        <v>546</v>
      </c>
      <c r="B44" s="2" t="s">
        <v>547</v>
      </c>
      <c r="C44" s="2" t="s">
        <v>480</v>
      </c>
      <c r="D44" s="2" t="s">
        <v>35</v>
      </c>
      <c r="E44" s="2" t="s">
        <v>438</v>
      </c>
      <c r="F44" s="2" t="s">
        <v>439</v>
      </c>
      <c r="G44" s="2" t="s">
        <v>390</v>
      </c>
      <c r="H44" s="2" t="s">
        <v>548</v>
      </c>
      <c r="I44" s="2" t="s">
        <v>549</v>
      </c>
      <c r="J44" s="2" t="s">
        <v>505</v>
      </c>
      <c r="K44" s="2" t="s">
        <v>493</v>
      </c>
      <c r="L44" s="4"/>
      <c r="M44" s="4">
        <v>1807528</v>
      </c>
      <c r="N44" s="4">
        <v>1385509</v>
      </c>
      <c r="O44" s="4">
        <v>0</v>
      </c>
    </row>
    <row r="45" spans="1:15" ht="15" customHeight="1" x14ac:dyDescent="0.35">
      <c r="A45" s="2" t="s">
        <v>550</v>
      </c>
      <c r="B45" s="2" t="s">
        <v>551</v>
      </c>
      <c r="C45" s="2" t="s">
        <v>480</v>
      </c>
      <c r="D45" s="2" t="s">
        <v>36</v>
      </c>
      <c r="E45" s="2" t="s">
        <v>438</v>
      </c>
      <c r="F45" s="2" t="s">
        <v>439</v>
      </c>
      <c r="G45" s="2" t="s">
        <v>502</v>
      </c>
      <c r="H45" s="2" t="s">
        <v>490</v>
      </c>
      <c r="I45" s="2" t="s">
        <v>552</v>
      </c>
      <c r="J45" s="2" t="s">
        <v>492</v>
      </c>
      <c r="K45" s="2" t="s">
        <v>493</v>
      </c>
      <c r="L45" s="4"/>
      <c r="M45" s="4">
        <v>256982</v>
      </c>
      <c r="N45" s="4">
        <v>92087</v>
      </c>
      <c r="O45" s="4">
        <v>0</v>
      </c>
    </row>
    <row r="46" spans="1:15" ht="15" customHeight="1" x14ac:dyDescent="0.35">
      <c r="A46" s="2" t="s">
        <v>553</v>
      </c>
      <c r="B46" s="2" t="s">
        <v>554</v>
      </c>
      <c r="C46" s="2" t="s">
        <v>480</v>
      </c>
      <c r="D46" s="2" t="s">
        <v>36</v>
      </c>
      <c r="E46" s="2" t="s">
        <v>438</v>
      </c>
      <c r="F46" s="2" t="s">
        <v>439</v>
      </c>
      <c r="G46" s="2" t="s">
        <v>502</v>
      </c>
      <c r="H46" s="2" t="s">
        <v>490</v>
      </c>
      <c r="I46" s="2" t="s">
        <v>552</v>
      </c>
      <c r="J46" s="2" t="s">
        <v>499</v>
      </c>
      <c r="K46" s="2" t="s">
        <v>493</v>
      </c>
      <c r="L46" s="4"/>
      <c r="M46" s="4">
        <v>88794</v>
      </c>
      <c r="N46" s="4">
        <v>50883</v>
      </c>
      <c r="O46" s="4">
        <v>0</v>
      </c>
    </row>
    <row r="47" spans="1:15" ht="15" customHeight="1" x14ac:dyDescent="0.35">
      <c r="A47" s="2" t="s">
        <v>555</v>
      </c>
      <c r="B47" s="2" t="s">
        <v>556</v>
      </c>
      <c r="C47" s="2" t="s">
        <v>480</v>
      </c>
      <c r="D47" s="2" t="s">
        <v>36</v>
      </c>
      <c r="E47" s="2" t="s">
        <v>438</v>
      </c>
      <c r="F47" s="2" t="s">
        <v>439</v>
      </c>
      <c r="G47" s="2" t="s">
        <v>502</v>
      </c>
      <c r="H47" s="2" t="s">
        <v>490</v>
      </c>
      <c r="I47" s="2" t="s">
        <v>552</v>
      </c>
      <c r="J47" s="2" t="s">
        <v>505</v>
      </c>
      <c r="K47" s="2" t="s">
        <v>493</v>
      </c>
      <c r="L47" s="4"/>
      <c r="M47" s="4">
        <v>224938</v>
      </c>
      <c r="N47" s="4">
        <v>147396</v>
      </c>
      <c r="O47" s="4">
        <v>0</v>
      </c>
    </row>
    <row r="48" spans="1:15" ht="15" customHeight="1" x14ac:dyDescent="0.35">
      <c r="A48" s="2" t="s">
        <v>557</v>
      </c>
      <c r="B48" s="2" t="s">
        <v>558</v>
      </c>
      <c r="C48" s="2" t="s">
        <v>480</v>
      </c>
      <c r="D48" s="2" t="s">
        <v>559</v>
      </c>
      <c r="E48" s="2" t="s">
        <v>438</v>
      </c>
      <c r="F48" s="2" t="s">
        <v>439</v>
      </c>
      <c r="G48" s="2"/>
      <c r="H48" s="2"/>
      <c r="I48" s="2"/>
      <c r="J48" s="2"/>
      <c r="K48" s="2" t="s">
        <v>493</v>
      </c>
      <c r="L48" s="4"/>
      <c r="M48" s="4">
        <v>-3980</v>
      </c>
      <c r="N48" s="4">
        <v>-1847</v>
      </c>
      <c r="O48" s="4">
        <v>-3980</v>
      </c>
    </row>
    <row r="50" spans="1:15" ht="18" customHeight="1" x14ac:dyDescent="0.35">
      <c r="A50" s="25" t="s">
        <v>926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</row>
    <row r="51" spans="1:15" ht="25.5" customHeight="1" x14ac:dyDescent="0.35">
      <c r="A51" s="1" t="s">
        <v>420</v>
      </c>
      <c r="B51" s="1" t="s">
        <v>421</v>
      </c>
      <c r="C51" s="1" t="s">
        <v>422</v>
      </c>
      <c r="D51" s="1" t="s">
        <v>423</v>
      </c>
      <c r="E51" s="1" t="s">
        <v>424</v>
      </c>
      <c r="F51" s="1" t="s">
        <v>425</v>
      </c>
      <c r="G51" s="1" t="s">
        <v>426</v>
      </c>
      <c r="H51" s="1" t="s">
        <v>427</v>
      </c>
      <c r="I51" s="1" t="s">
        <v>428</v>
      </c>
      <c r="J51" s="1" t="s">
        <v>429</v>
      </c>
      <c r="K51" s="1" t="s">
        <v>430</v>
      </c>
      <c r="L51" s="1" t="s">
        <v>431</v>
      </c>
      <c r="M51" s="1" t="s">
        <v>432</v>
      </c>
      <c r="N51" s="1" t="s">
        <v>433</v>
      </c>
      <c r="O51" s="1" t="s">
        <v>434</v>
      </c>
    </row>
    <row r="52" spans="1:15" ht="15" customHeight="1" x14ac:dyDescent="0.35">
      <c r="A52" s="2" t="s">
        <v>560</v>
      </c>
      <c r="B52" s="2" t="s">
        <v>561</v>
      </c>
      <c r="C52" s="2" t="s">
        <v>562</v>
      </c>
      <c r="D52" s="2" t="s">
        <v>35</v>
      </c>
      <c r="E52" s="2" t="s">
        <v>438</v>
      </c>
      <c r="F52" s="2" t="s">
        <v>439</v>
      </c>
      <c r="G52" s="2" t="s">
        <v>563</v>
      </c>
      <c r="H52" s="2" t="s">
        <v>564</v>
      </c>
      <c r="I52" s="2" t="s">
        <v>565</v>
      </c>
      <c r="J52" s="2" t="s">
        <v>492</v>
      </c>
      <c r="K52" s="2" t="s">
        <v>493</v>
      </c>
      <c r="L52" s="4"/>
      <c r="M52" s="4">
        <v>1600370</v>
      </c>
      <c r="N52" s="4">
        <v>1164257</v>
      </c>
      <c r="O52" s="4">
        <v>0</v>
      </c>
    </row>
    <row r="53" spans="1:15" ht="15" customHeight="1" x14ac:dyDescent="0.35">
      <c r="A53" s="2" t="s">
        <v>566</v>
      </c>
      <c r="B53" s="2" t="s">
        <v>567</v>
      </c>
      <c r="C53" s="2" t="s">
        <v>562</v>
      </c>
      <c r="D53" s="2" t="s">
        <v>35</v>
      </c>
      <c r="E53" s="2" t="s">
        <v>438</v>
      </c>
      <c r="F53" s="2" t="s">
        <v>439</v>
      </c>
      <c r="G53" s="2" t="s">
        <v>568</v>
      </c>
      <c r="H53" s="2" t="s">
        <v>527</v>
      </c>
      <c r="I53" s="2" t="s">
        <v>569</v>
      </c>
      <c r="J53" s="2" t="s">
        <v>499</v>
      </c>
      <c r="K53" s="2" t="s">
        <v>493</v>
      </c>
      <c r="L53" s="4"/>
      <c r="M53" s="4">
        <v>2973285</v>
      </c>
      <c r="N53" s="4">
        <v>1155514</v>
      </c>
      <c r="O53" s="4">
        <v>0</v>
      </c>
    </row>
    <row r="54" spans="1:15" ht="15" customHeight="1" x14ac:dyDescent="0.35">
      <c r="A54" s="2" t="s">
        <v>570</v>
      </c>
      <c r="B54" s="2" t="s">
        <v>571</v>
      </c>
      <c r="C54" s="2" t="s">
        <v>562</v>
      </c>
      <c r="D54" s="2" t="s">
        <v>35</v>
      </c>
      <c r="E54" s="2" t="s">
        <v>438</v>
      </c>
      <c r="F54" s="2" t="s">
        <v>439</v>
      </c>
      <c r="G54" s="2" t="s">
        <v>572</v>
      </c>
      <c r="H54" s="2" t="s">
        <v>520</v>
      </c>
      <c r="I54" s="2" t="s">
        <v>573</v>
      </c>
      <c r="J54" s="2" t="s">
        <v>505</v>
      </c>
      <c r="K54" s="2" t="s">
        <v>493</v>
      </c>
      <c r="L54" s="4"/>
      <c r="M54" s="4">
        <v>912005</v>
      </c>
      <c r="N54" s="4">
        <v>2065862</v>
      </c>
      <c r="O54" s="4">
        <v>0</v>
      </c>
    </row>
    <row r="55" spans="1:15" ht="15" customHeight="1" x14ac:dyDescent="0.35">
      <c r="A55" s="2" t="s">
        <v>574</v>
      </c>
      <c r="B55" s="2" t="s">
        <v>575</v>
      </c>
      <c r="C55" s="2" t="s">
        <v>562</v>
      </c>
      <c r="D55" s="2" t="s">
        <v>35</v>
      </c>
      <c r="E55" s="2" t="s">
        <v>438</v>
      </c>
      <c r="F55" s="2" t="s">
        <v>439</v>
      </c>
      <c r="G55" s="2" t="s">
        <v>526</v>
      </c>
      <c r="H55" s="2" t="s">
        <v>490</v>
      </c>
      <c r="I55" s="2" t="s">
        <v>576</v>
      </c>
      <c r="J55" s="2" t="s">
        <v>510</v>
      </c>
      <c r="K55" s="2" t="s">
        <v>493</v>
      </c>
      <c r="L55" s="4"/>
      <c r="M55" s="4">
        <v>1513931</v>
      </c>
      <c r="N55" s="4">
        <v>2066480</v>
      </c>
      <c r="O55" s="4">
        <v>0</v>
      </c>
    </row>
    <row r="56" spans="1:15" ht="15" customHeight="1" x14ac:dyDescent="0.35">
      <c r="A56" s="2" t="s">
        <v>577</v>
      </c>
      <c r="B56" s="2" t="s">
        <v>578</v>
      </c>
      <c r="C56" s="2" t="s">
        <v>562</v>
      </c>
      <c r="D56" s="2" t="s">
        <v>35</v>
      </c>
      <c r="E56" s="2" t="s">
        <v>438</v>
      </c>
      <c r="F56" s="2" t="s">
        <v>439</v>
      </c>
      <c r="G56" s="2" t="s">
        <v>531</v>
      </c>
      <c r="H56" s="2" t="s">
        <v>497</v>
      </c>
      <c r="I56" s="2" t="s">
        <v>579</v>
      </c>
      <c r="J56" s="2" t="s">
        <v>515</v>
      </c>
      <c r="K56" s="2" t="s">
        <v>493</v>
      </c>
      <c r="L56" s="4"/>
      <c r="M56" s="4">
        <v>1827073</v>
      </c>
      <c r="N56" s="4">
        <v>968589</v>
      </c>
      <c r="O56" s="4">
        <v>0</v>
      </c>
    </row>
    <row r="57" spans="1:15" ht="15" customHeight="1" x14ac:dyDescent="0.35">
      <c r="A57" s="2" t="s">
        <v>580</v>
      </c>
      <c r="B57" s="2" t="s">
        <v>581</v>
      </c>
      <c r="C57" s="2" t="s">
        <v>562</v>
      </c>
      <c r="D57" s="2" t="s">
        <v>35</v>
      </c>
      <c r="E57" s="2" t="s">
        <v>438</v>
      </c>
      <c r="F57" s="2" t="s">
        <v>439</v>
      </c>
      <c r="G57" s="2" t="s">
        <v>489</v>
      </c>
      <c r="H57" s="2" t="s">
        <v>503</v>
      </c>
      <c r="I57" s="2" t="s">
        <v>582</v>
      </c>
      <c r="J57" s="2" t="s">
        <v>492</v>
      </c>
      <c r="K57" s="2" t="s">
        <v>493</v>
      </c>
      <c r="L57" s="4"/>
      <c r="M57" s="4">
        <v>3353371</v>
      </c>
      <c r="N57" s="4">
        <v>1974511</v>
      </c>
      <c r="O57" s="4">
        <v>0</v>
      </c>
    </row>
    <row r="58" spans="1:15" ht="15" customHeight="1" x14ac:dyDescent="0.35">
      <c r="A58" s="2" t="s">
        <v>583</v>
      </c>
      <c r="B58" s="2" t="s">
        <v>584</v>
      </c>
      <c r="C58" s="2" t="s">
        <v>562</v>
      </c>
      <c r="D58" s="2" t="s">
        <v>35</v>
      </c>
      <c r="E58" s="2" t="s">
        <v>438</v>
      </c>
      <c r="F58" s="2" t="s">
        <v>439</v>
      </c>
      <c r="G58" s="2" t="s">
        <v>496</v>
      </c>
      <c r="H58" s="2" t="s">
        <v>508</v>
      </c>
      <c r="I58" s="2" t="s">
        <v>585</v>
      </c>
      <c r="J58" s="2" t="s">
        <v>499</v>
      </c>
      <c r="K58" s="2" t="s">
        <v>493</v>
      </c>
      <c r="L58" s="4"/>
      <c r="M58" s="4">
        <v>1699035</v>
      </c>
      <c r="N58" s="4">
        <v>2178212</v>
      </c>
      <c r="O58" s="4">
        <v>0</v>
      </c>
    </row>
    <row r="59" spans="1:15" ht="15" customHeight="1" x14ac:dyDescent="0.35">
      <c r="A59" s="2" t="s">
        <v>586</v>
      </c>
      <c r="B59" s="2" t="s">
        <v>587</v>
      </c>
      <c r="C59" s="2" t="s">
        <v>562</v>
      </c>
      <c r="D59" s="2" t="s">
        <v>35</v>
      </c>
      <c r="E59" s="2" t="s">
        <v>438</v>
      </c>
      <c r="F59" s="2" t="s">
        <v>439</v>
      </c>
      <c r="G59" s="2" t="s">
        <v>502</v>
      </c>
      <c r="H59" s="2" t="s">
        <v>513</v>
      </c>
      <c r="I59" s="2" t="s">
        <v>588</v>
      </c>
      <c r="J59" s="2" t="s">
        <v>505</v>
      </c>
      <c r="K59" s="2" t="s">
        <v>493</v>
      </c>
      <c r="L59" s="4"/>
      <c r="M59" s="4">
        <v>2441497</v>
      </c>
      <c r="N59" s="4">
        <v>1950997</v>
      </c>
      <c r="O59" s="4">
        <v>0</v>
      </c>
    </row>
    <row r="60" spans="1:15" ht="15" customHeight="1" x14ac:dyDescent="0.35">
      <c r="A60" s="2" t="s">
        <v>589</v>
      </c>
      <c r="B60" s="2" t="s">
        <v>590</v>
      </c>
      <c r="C60" s="2" t="s">
        <v>562</v>
      </c>
      <c r="D60" s="2" t="s">
        <v>35</v>
      </c>
      <c r="E60" s="2" t="s">
        <v>438</v>
      </c>
      <c r="F60" s="2" t="s">
        <v>439</v>
      </c>
      <c r="G60" s="2" t="s">
        <v>387</v>
      </c>
      <c r="H60" s="2" t="s">
        <v>548</v>
      </c>
      <c r="I60" s="2" t="s">
        <v>591</v>
      </c>
      <c r="J60" s="2" t="s">
        <v>510</v>
      </c>
      <c r="K60" s="2" t="s">
        <v>493</v>
      </c>
      <c r="L60" s="4"/>
      <c r="M60" s="4">
        <v>950505</v>
      </c>
      <c r="N60" s="4">
        <v>444348</v>
      </c>
      <c r="O60" s="4">
        <v>0</v>
      </c>
    </row>
    <row r="61" spans="1:15" ht="15" customHeight="1" x14ac:dyDescent="0.35">
      <c r="A61" s="2" t="s">
        <v>592</v>
      </c>
      <c r="B61" s="2" t="s">
        <v>593</v>
      </c>
      <c r="C61" s="2" t="s">
        <v>562</v>
      </c>
      <c r="D61" s="2" t="s">
        <v>35</v>
      </c>
      <c r="E61" s="2" t="s">
        <v>438</v>
      </c>
      <c r="F61" s="2" t="s">
        <v>439</v>
      </c>
      <c r="G61" s="2" t="s">
        <v>381</v>
      </c>
      <c r="H61" s="2" t="s">
        <v>594</v>
      </c>
      <c r="I61" s="2" t="s">
        <v>595</v>
      </c>
      <c r="J61" s="2" t="s">
        <v>515</v>
      </c>
      <c r="K61" s="2" t="s">
        <v>493</v>
      </c>
      <c r="L61" s="4"/>
      <c r="M61" s="4">
        <v>1166642</v>
      </c>
      <c r="N61" s="4">
        <v>2218958</v>
      </c>
      <c r="O61" s="4">
        <v>0</v>
      </c>
    </row>
    <row r="62" spans="1:15" ht="15" customHeight="1" x14ac:dyDescent="0.35">
      <c r="A62" s="2" t="s">
        <v>596</v>
      </c>
      <c r="B62" s="2" t="s">
        <v>597</v>
      </c>
      <c r="C62" s="2" t="s">
        <v>562</v>
      </c>
      <c r="D62" s="2" t="s">
        <v>35</v>
      </c>
      <c r="E62" s="2" t="s">
        <v>452</v>
      </c>
      <c r="F62" s="2" t="s">
        <v>453</v>
      </c>
      <c r="G62" s="2" t="s">
        <v>531</v>
      </c>
      <c r="H62" s="2" t="s">
        <v>520</v>
      </c>
      <c r="I62" s="2" t="s">
        <v>598</v>
      </c>
      <c r="J62" s="2" t="s">
        <v>492</v>
      </c>
      <c r="K62" s="2" t="s">
        <v>493</v>
      </c>
      <c r="L62" s="4"/>
      <c r="M62" s="4">
        <v>382707</v>
      </c>
      <c r="N62" s="4">
        <v>382707</v>
      </c>
      <c r="O62" s="4">
        <v>0</v>
      </c>
    </row>
    <row r="63" spans="1:15" ht="15" customHeight="1" x14ac:dyDescent="0.35">
      <c r="A63" s="2" t="s">
        <v>599</v>
      </c>
      <c r="B63" s="2" t="s">
        <v>600</v>
      </c>
      <c r="C63" s="2" t="s">
        <v>562</v>
      </c>
      <c r="D63" s="2" t="s">
        <v>36</v>
      </c>
      <c r="E63" s="2" t="s">
        <v>438</v>
      </c>
      <c r="F63" s="2" t="s">
        <v>439</v>
      </c>
      <c r="G63" s="2" t="s">
        <v>489</v>
      </c>
      <c r="H63" s="2" t="s">
        <v>527</v>
      </c>
      <c r="I63" s="2" t="s">
        <v>601</v>
      </c>
      <c r="J63" s="2" t="s">
        <v>492</v>
      </c>
      <c r="K63" s="2" t="s">
        <v>493</v>
      </c>
      <c r="L63" s="4"/>
      <c r="M63" s="4">
        <v>611209</v>
      </c>
      <c r="N63" s="4">
        <v>542173</v>
      </c>
      <c r="O63" s="4">
        <v>0</v>
      </c>
    </row>
    <row r="64" spans="1:15" ht="15" customHeight="1" x14ac:dyDescent="0.35">
      <c r="A64" s="2" t="s">
        <v>602</v>
      </c>
      <c r="B64" s="2" t="s">
        <v>603</v>
      </c>
      <c r="C64" s="2" t="s">
        <v>562</v>
      </c>
      <c r="D64" s="2" t="s">
        <v>36</v>
      </c>
      <c r="E64" s="2" t="s">
        <v>438</v>
      </c>
      <c r="F64" s="2" t="s">
        <v>439</v>
      </c>
      <c r="G64" s="2" t="s">
        <v>489</v>
      </c>
      <c r="H64" s="2" t="s">
        <v>527</v>
      </c>
      <c r="I64" s="2" t="s">
        <v>601</v>
      </c>
      <c r="J64" s="2" t="s">
        <v>499</v>
      </c>
      <c r="K64" s="2" t="s">
        <v>493</v>
      </c>
      <c r="L64" s="4"/>
      <c r="M64" s="4">
        <v>601301</v>
      </c>
      <c r="N64" s="4">
        <v>320654</v>
      </c>
      <c r="O64" s="4">
        <v>0</v>
      </c>
    </row>
    <row r="65" spans="1:15" ht="15" customHeight="1" x14ac:dyDescent="0.35">
      <c r="A65" s="2" t="s">
        <v>604</v>
      </c>
      <c r="B65" s="2" t="s">
        <v>605</v>
      </c>
      <c r="C65" s="2" t="s">
        <v>562</v>
      </c>
      <c r="D65" s="2" t="s">
        <v>36</v>
      </c>
      <c r="E65" s="2" t="s">
        <v>438</v>
      </c>
      <c r="F65" s="2" t="s">
        <v>439</v>
      </c>
      <c r="G65" s="2" t="s">
        <v>489</v>
      </c>
      <c r="H65" s="2" t="s">
        <v>527</v>
      </c>
      <c r="I65" s="2" t="s">
        <v>601</v>
      </c>
      <c r="J65" s="2" t="s">
        <v>505</v>
      </c>
      <c r="K65" s="2" t="s">
        <v>493</v>
      </c>
      <c r="L65" s="4"/>
      <c r="M65" s="4">
        <v>848677</v>
      </c>
      <c r="N65" s="4">
        <v>930138</v>
      </c>
      <c r="O65" s="4">
        <v>0</v>
      </c>
    </row>
    <row r="66" spans="1:15" ht="15" customHeight="1" x14ac:dyDescent="0.35">
      <c r="A66" s="2" t="s">
        <v>606</v>
      </c>
      <c r="B66" s="2" t="s">
        <v>607</v>
      </c>
      <c r="C66" s="2" t="s">
        <v>562</v>
      </c>
      <c r="D66" s="2" t="s">
        <v>36</v>
      </c>
      <c r="E66" s="2" t="s">
        <v>438</v>
      </c>
      <c r="F66" s="2" t="s">
        <v>439</v>
      </c>
      <c r="G66" s="2" t="s">
        <v>489</v>
      </c>
      <c r="H66" s="2" t="s">
        <v>527</v>
      </c>
      <c r="I66" s="2" t="s">
        <v>601</v>
      </c>
      <c r="J66" s="2" t="s">
        <v>510</v>
      </c>
      <c r="K66" s="2" t="s">
        <v>493</v>
      </c>
      <c r="L66" s="4"/>
      <c r="M66" s="4">
        <v>882630</v>
      </c>
      <c r="N66" s="4">
        <v>873594</v>
      </c>
      <c r="O66" s="4">
        <v>0</v>
      </c>
    </row>
    <row r="67" spans="1:15" ht="15" customHeight="1" x14ac:dyDescent="0.35">
      <c r="A67" s="2" t="s">
        <v>608</v>
      </c>
      <c r="B67" s="2" t="s">
        <v>609</v>
      </c>
      <c r="C67" s="2" t="s">
        <v>562</v>
      </c>
      <c r="D67" s="2" t="s">
        <v>36</v>
      </c>
      <c r="E67" s="2" t="s">
        <v>438</v>
      </c>
      <c r="F67" s="2" t="s">
        <v>439</v>
      </c>
      <c r="G67" s="2" t="s">
        <v>489</v>
      </c>
      <c r="H67" s="2" t="s">
        <v>527</v>
      </c>
      <c r="I67" s="2" t="s">
        <v>601</v>
      </c>
      <c r="J67" s="2" t="s">
        <v>515</v>
      </c>
      <c r="K67" s="2" t="s">
        <v>493</v>
      </c>
      <c r="L67" s="4"/>
      <c r="M67" s="4">
        <v>477290</v>
      </c>
      <c r="N67" s="4">
        <v>745557</v>
      </c>
      <c r="O67" s="4">
        <v>0</v>
      </c>
    </row>
    <row r="68" spans="1:15" ht="15" customHeight="1" x14ac:dyDescent="0.35">
      <c r="A68" s="2" t="s">
        <v>610</v>
      </c>
      <c r="B68" s="2" t="s">
        <v>611</v>
      </c>
      <c r="C68" s="2" t="s">
        <v>562</v>
      </c>
      <c r="D68" s="2" t="s">
        <v>38</v>
      </c>
      <c r="E68" s="2" t="s">
        <v>438</v>
      </c>
      <c r="F68" s="2" t="s">
        <v>439</v>
      </c>
      <c r="G68" s="2" t="s">
        <v>526</v>
      </c>
      <c r="H68" s="2" t="s">
        <v>612</v>
      </c>
      <c r="I68" s="2" t="s">
        <v>613</v>
      </c>
      <c r="J68" s="2" t="s">
        <v>492</v>
      </c>
      <c r="K68" s="2" t="s">
        <v>493</v>
      </c>
      <c r="L68" s="4"/>
      <c r="M68" s="4">
        <v>0</v>
      </c>
      <c r="N68" s="4">
        <v>1111421</v>
      </c>
      <c r="O68" s="4">
        <v>0</v>
      </c>
    </row>
    <row r="69" spans="1:15" ht="15" customHeight="1" x14ac:dyDescent="0.35">
      <c r="A69" s="2" t="s">
        <v>614</v>
      </c>
      <c r="B69" s="2" t="s">
        <v>615</v>
      </c>
      <c r="C69" s="2" t="s">
        <v>562</v>
      </c>
      <c r="D69" s="2" t="s">
        <v>559</v>
      </c>
      <c r="E69" s="2" t="s">
        <v>438</v>
      </c>
      <c r="F69" s="2" t="s">
        <v>439</v>
      </c>
      <c r="G69" s="2"/>
      <c r="H69" s="2"/>
      <c r="I69" s="2"/>
      <c r="J69" s="2"/>
      <c r="K69" s="2" t="s">
        <v>493</v>
      </c>
      <c r="L69" s="4"/>
      <c r="M69" s="4">
        <v>-8854</v>
      </c>
      <c r="N69" s="4">
        <v>-9733</v>
      </c>
      <c r="O69" s="4">
        <v>-8854</v>
      </c>
    </row>
    <row r="70" spans="1:15" ht="15" customHeight="1" x14ac:dyDescent="0.35">
      <c r="A70" s="2" t="s">
        <v>616</v>
      </c>
      <c r="B70" s="2" t="s">
        <v>617</v>
      </c>
      <c r="C70" s="2" t="s">
        <v>562</v>
      </c>
      <c r="D70" s="2" t="s">
        <v>559</v>
      </c>
      <c r="E70" s="2" t="s">
        <v>452</v>
      </c>
      <c r="F70" s="2" t="s">
        <v>453</v>
      </c>
      <c r="G70" s="2"/>
      <c r="H70" s="2"/>
      <c r="I70" s="2"/>
      <c r="J70" s="2"/>
      <c r="K70" s="2" t="s">
        <v>493</v>
      </c>
      <c r="L70" s="4"/>
      <c r="M70" s="4">
        <v>-372</v>
      </c>
      <c r="N70" s="4">
        <v>-372</v>
      </c>
      <c r="O70" s="4">
        <v>-372</v>
      </c>
    </row>
  </sheetData>
  <mergeCells count="3">
    <mergeCell ref="A4:O4"/>
    <mergeCell ref="A23:O23"/>
    <mergeCell ref="A50:O5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3"/>
  <sheetViews>
    <sheetView showGridLines="0" zoomScaleNormal="100" workbookViewId="0">
      <selection activeCell="A9" sqref="A9"/>
    </sheetView>
  </sheetViews>
  <sheetFormatPr defaultColWidth="8.6328125" defaultRowHeight="14.5" x14ac:dyDescent="0.35"/>
  <cols>
    <col min="1" max="1" width="10" customWidth="1"/>
    <col min="2" max="2" width="42" customWidth="1"/>
    <col min="3" max="3" width="26" customWidth="1"/>
    <col min="4" max="4" width="18" customWidth="1"/>
    <col min="5" max="5" width="16" customWidth="1"/>
    <col min="6" max="6" width="12" customWidth="1"/>
    <col min="7" max="18" width="13" customWidth="1"/>
  </cols>
  <sheetData>
    <row r="1" spans="1:18" ht="18" x14ac:dyDescent="0.4">
      <c r="A1" s="19" t="s">
        <v>904</v>
      </c>
    </row>
    <row r="2" spans="1:18" x14ac:dyDescent="0.35">
      <c r="A2" s="3"/>
    </row>
    <row r="3" spans="1:18" x14ac:dyDescent="0.35">
      <c r="K3" s="14"/>
      <c r="L3" s="14"/>
      <c r="M3" s="14"/>
      <c r="N3" s="14"/>
      <c r="O3" s="14"/>
      <c r="P3" s="14"/>
      <c r="Q3" s="14"/>
      <c r="R3" s="14"/>
    </row>
    <row r="4" spans="1:18" x14ac:dyDescent="0.35">
      <c r="A4" s="25" t="s">
        <v>915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s="5" customFormat="1" ht="34.5" x14ac:dyDescent="0.35">
      <c r="A5" s="1" t="s">
        <v>217</v>
      </c>
      <c r="B5" s="1" t="s">
        <v>218</v>
      </c>
      <c r="C5" s="1" t="s">
        <v>219</v>
      </c>
      <c r="D5" s="1" t="s">
        <v>220</v>
      </c>
      <c r="E5" s="1" t="s">
        <v>221</v>
      </c>
      <c r="F5" s="1" t="s">
        <v>222</v>
      </c>
      <c r="G5" s="1" t="s">
        <v>223</v>
      </c>
      <c r="H5" s="1" t="s">
        <v>224</v>
      </c>
      <c r="I5" s="1" t="s">
        <v>225</v>
      </c>
      <c r="J5" s="1" t="s">
        <v>226</v>
      </c>
      <c r="K5" s="1" t="s">
        <v>227</v>
      </c>
      <c r="L5" s="1" t="s">
        <v>228</v>
      </c>
      <c r="M5" s="1" t="s">
        <v>229</v>
      </c>
      <c r="N5" s="1" t="s">
        <v>230</v>
      </c>
      <c r="O5" s="1" t="s">
        <v>231</v>
      </c>
      <c r="P5" s="1" t="s">
        <v>232</v>
      </c>
      <c r="Q5" s="1" t="s">
        <v>233</v>
      </c>
      <c r="R5" s="1" t="s">
        <v>234</v>
      </c>
    </row>
    <row r="6" spans="1:18" s="18" customFormat="1" x14ac:dyDescent="0.35">
      <c r="A6" s="16" t="s">
        <v>235</v>
      </c>
      <c r="B6" s="16" t="s">
        <v>236</v>
      </c>
      <c r="C6" s="16" t="s">
        <v>237</v>
      </c>
      <c r="D6" s="16" t="s">
        <v>238</v>
      </c>
      <c r="E6" s="16" t="s">
        <v>239</v>
      </c>
      <c r="F6" s="17">
        <v>40</v>
      </c>
      <c r="G6" s="17">
        <v>42537</v>
      </c>
      <c r="H6" s="17">
        <v>0</v>
      </c>
      <c r="I6" s="17">
        <v>0</v>
      </c>
      <c r="J6" s="17">
        <v>0</v>
      </c>
      <c r="K6" s="17">
        <f>G6+H6+I6+J6</f>
        <v>42537</v>
      </c>
      <c r="L6" s="17">
        <v>3046</v>
      </c>
      <c r="M6" s="17">
        <v>233</v>
      </c>
      <c r="N6" s="17">
        <v>0</v>
      </c>
      <c r="O6" s="17">
        <v>0</v>
      </c>
      <c r="P6" s="17">
        <f>L6+M6+N6+O6</f>
        <v>3279</v>
      </c>
      <c r="Q6" s="17">
        <f>K6-P6</f>
        <v>39258</v>
      </c>
      <c r="R6" s="17">
        <f>G6-L6</f>
        <v>39491</v>
      </c>
    </row>
    <row r="7" spans="1:18" s="18" customFormat="1" x14ac:dyDescent="0.35">
      <c r="A7" s="16" t="s">
        <v>240</v>
      </c>
      <c r="B7" s="16" t="s">
        <v>241</v>
      </c>
      <c r="C7" s="16" t="s">
        <v>237</v>
      </c>
      <c r="D7" s="16" t="s">
        <v>242</v>
      </c>
      <c r="E7" s="16" t="s">
        <v>243</v>
      </c>
      <c r="F7" s="17">
        <v>40</v>
      </c>
      <c r="G7" s="17">
        <v>49389</v>
      </c>
      <c r="H7" s="17">
        <v>0</v>
      </c>
      <c r="I7" s="17">
        <v>0</v>
      </c>
      <c r="J7" s="17">
        <v>0</v>
      </c>
      <c r="K7" s="17">
        <f>G7+H7+I7+J7</f>
        <v>49389</v>
      </c>
      <c r="L7" s="17">
        <v>3854</v>
      </c>
      <c r="M7" s="17">
        <v>442</v>
      </c>
      <c r="N7" s="17">
        <v>0</v>
      </c>
      <c r="O7" s="17">
        <v>0</v>
      </c>
      <c r="P7" s="17">
        <f>L7+M7+N7+O7</f>
        <v>4296</v>
      </c>
      <c r="Q7" s="17">
        <f>K7-P7</f>
        <v>45093</v>
      </c>
      <c r="R7" s="17">
        <f>G7-L7</f>
        <v>45535</v>
      </c>
    </row>
    <row r="8" spans="1:18" s="18" customFormat="1" x14ac:dyDescent="0.35">
      <c r="A8" s="16" t="s">
        <v>244</v>
      </c>
      <c r="B8" s="16" t="s">
        <v>245</v>
      </c>
      <c r="C8" s="16" t="s">
        <v>237</v>
      </c>
      <c r="D8" s="16" t="s">
        <v>246</v>
      </c>
      <c r="E8" s="16" t="s">
        <v>247</v>
      </c>
      <c r="F8" s="17">
        <v>40</v>
      </c>
      <c r="G8" s="17">
        <v>72642</v>
      </c>
      <c r="H8" s="17">
        <v>0</v>
      </c>
      <c r="I8" s="17">
        <v>0</v>
      </c>
      <c r="J8" s="17">
        <v>0</v>
      </c>
      <c r="K8" s="17">
        <f>G8+H8+I8+J8</f>
        <v>72642</v>
      </c>
      <c r="L8" s="17">
        <v>3894</v>
      </c>
      <c r="M8" s="17">
        <v>442</v>
      </c>
      <c r="N8" s="17">
        <v>0</v>
      </c>
      <c r="O8" s="17">
        <v>0</v>
      </c>
      <c r="P8" s="17">
        <f>L8+M8+N8+O8</f>
        <v>4336</v>
      </c>
      <c r="Q8" s="17">
        <f>K8-P8</f>
        <v>68306</v>
      </c>
      <c r="R8" s="17">
        <f>G8-L8</f>
        <v>68748</v>
      </c>
    </row>
    <row r="9" spans="1:18" s="18" customFormat="1" x14ac:dyDescent="0.35">
      <c r="A9" s="16" t="s">
        <v>248</v>
      </c>
      <c r="B9" s="16" t="s">
        <v>249</v>
      </c>
      <c r="C9" s="16" t="s">
        <v>237</v>
      </c>
      <c r="D9" s="16" t="s">
        <v>250</v>
      </c>
      <c r="E9" s="16" t="s">
        <v>251</v>
      </c>
      <c r="F9" s="17">
        <v>40</v>
      </c>
      <c r="G9" s="17">
        <v>43384</v>
      </c>
      <c r="H9" s="17">
        <v>0</v>
      </c>
      <c r="I9" s="17">
        <v>0</v>
      </c>
      <c r="J9" s="17">
        <v>0</v>
      </c>
      <c r="K9" s="17">
        <f>G9+H9+I9+J9</f>
        <v>43384</v>
      </c>
      <c r="L9" s="17">
        <v>1578</v>
      </c>
      <c r="M9" s="17">
        <v>522</v>
      </c>
      <c r="N9" s="17">
        <v>0</v>
      </c>
      <c r="O9" s="17">
        <v>0</v>
      </c>
      <c r="P9" s="17">
        <f>L9+M9+N9+O9</f>
        <v>2100</v>
      </c>
      <c r="Q9" s="17">
        <f>K9-P9</f>
        <v>41284</v>
      </c>
      <c r="R9" s="17">
        <f>G9-L9</f>
        <v>41806</v>
      </c>
    </row>
    <row r="10" spans="1:18" s="18" customFormat="1" x14ac:dyDescent="0.35">
      <c r="A10" s="16" t="s">
        <v>252</v>
      </c>
      <c r="B10" s="16" t="s">
        <v>253</v>
      </c>
      <c r="C10" s="16" t="s">
        <v>237</v>
      </c>
      <c r="D10" s="16" t="s">
        <v>250</v>
      </c>
      <c r="E10" s="16" t="s">
        <v>251</v>
      </c>
      <c r="F10" s="17" t="s">
        <v>254</v>
      </c>
      <c r="G10" s="17">
        <v>46076</v>
      </c>
      <c r="H10" s="17">
        <v>0</v>
      </c>
      <c r="I10" s="17">
        <v>0</v>
      </c>
      <c r="J10" s="17">
        <v>0</v>
      </c>
      <c r="K10" s="17">
        <f>G10+H10+I10+J10</f>
        <v>46076</v>
      </c>
      <c r="L10" s="17">
        <v>995</v>
      </c>
      <c r="M10" s="17">
        <v>197</v>
      </c>
      <c r="N10" s="17">
        <v>0</v>
      </c>
      <c r="O10" s="17">
        <v>0</v>
      </c>
      <c r="P10" s="17">
        <f>L10+M10+N10+O10</f>
        <v>1192</v>
      </c>
      <c r="Q10" s="17">
        <f>K10-P10</f>
        <v>44884</v>
      </c>
      <c r="R10" s="17">
        <f>G10-L10</f>
        <v>45081</v>
      </c>
    </row>
    <row r="12" spans="1:18" x14ac:dyDescent="0.35">
      <c r="A12" s="25" t="s">
        <v>916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</row>
    <row r="13" spans="1:18" s="5" customFormat="1" ht="34.5" x14ac:dyDescent="0.35">
      <c r="A13" s="1" t="s">
        <v>217</v>
      </c>
      <c r="B13" s="1" t="s">
        <v>218</v>
      </c>
      <c r="C13" s="1" t="s">
        <v>219</v>
      </c>
      <c r="D13" s="1" t="s">
        <v>220</v>
      </c>
      <c r="E13" s="1" t="s">
        <v>221</v>
      </c>
      <c r="F13" s="1" t="s">
        <v>222</v>
      </c>
      <c r="G13" s="1" t="s">
        <v>223</v>
      </c>
      <c r="H13" s="1" t="s">
        <v>224</v>
      </c>
      <c r="I13" s="1" t="s">
        <v>225</v>
      </c>
      <c r="J13" s="1" t="s">
        <v>226</v>
      </c>
      <c r="K13" s="1" t="s">
        <v>227</v>
      </c>
      <c r="L13" s="1" t="s">
        <v>228</v>
      </c>
      <c r="M13" s="1" t="s">
        <v>229</v>
      </c>
      <c r="N13" s="1" t="s">
        <v>230</v>
      </c>
      <c r="O13" s="1" t="s">
        <v>231</v>
      </c>
      <c r="P13" s="1" t="s">
        <v>232</v>
      </c>
      <c r="Q13" s="1" t="s">
        <v>233</v>
      </c>
      <c r="R13" s="1" t="s">
        <v>234</v>
      </c>
    </row>
    <row r="14" spans="1:18" s="18" customFormat="1" x14ac:dyDescent="0.35">
      <c r="A14" s="16" t="s">
        <v>255</v>
      </c>
      <c r="B14" s="16" t="s">
        <v>256</v>
      </c>
      <c r="C14" s="16" t="s">
        <v>257</v>
      </c>
      <c r="D14" s="16" t="s">
        <v>250</v>
      </c>
      <c r="E14" s="16" t="s">
        <v>251</v>
      </c>
      <c r="F14" s="17">
        <v>15</v>
      </c>
      <c r="G14" s="17">
        <v>27980</v>
      </c>
      <c r="H14" s="17">
        <v>389</v>
      </c>
      <c r="I14" s="17">
        <v>0</v>
      </c>
      <c r="J14" s="17">
        <v>401</v>
      </c>
      <c r="K14" s="17">
        <f t="shared" ref="K14:K25" si="0">G14+H14+I14+J14</f>
        <v>28770</v>
      </c>
      <c r="L14" s="17">
        <v>61570</v>
      </c>
      <c r="M14" s="17">
        <v>3731</v>
      </c>
      <c r="N14" s="17">
        <v>0</v>
      </c>
      <c r="O14" s="17">
        <v>-19</v>
      </c>
      <c r="P14" s="17">
        <f t="shared" ref="P14:P25" si="1">L14+M14+N14+O14</f>
        <v>65282</v>
      </c>
      <c r="Q14" s="17">
        <f t="shared" ref="Q14:Q25" si="2">K14-P14</f>
        <v>-36512</v>
      </c>
      <c r="R14" s="17">
        <f t="shared" ref="R14:R25" si="3">G14-L14</f>
        <v>-33590</v>
      </c>
    </row>
    <row r="15" spans="1:18" s="18" customFormat="1" x14ac:dyDescent="0.35">
      <c r="A15" s="16" t="s">
        <v>258</v>
      </c>
      <c r="B15" s="16" t="s">
        <v>259</v>
      </c>
      <c r="C15" s="16" t="s">
        <v>257</v>
      </c>
      <c r="D15" s="16" t="s">
        <v>250</v>
      </c>
      <c r="E15" s="16" t="s">
        <v>251</v>
      </c>
      <c r="F15" s="17">
        <v>15</v>
      </c>
      <c r="G15" s="17">
        <v>66702</v>
      </c>
      <c r="H15" s="17">
        <v>442</v>
      </c>
      <c r="I15" s="17">
        <v>0</v>
      </c>
      <c r="J15" s="17">
        <v>652</v>
      </c>
      <c r="K15" s="17">
        <f t="shared" si="0"/>
        <v>67796</v>
      </c>
      <c r="L15" s="17">
        <v>18624</v>
      </c>
      <c r="M15" s="17">
        <v>3807</v>
      </c>
      <c r="N15" s="17">
        <v>0</v>
      </c>
      <c r="O15" s="17">
        <v>0</v>
      </c>
      <c r="P15" s="17">
        <f t="shared" si="1"/>
        <v>22431</v>
      </c>
      <c r="Q15" s="17">
        <f t="shared" si="2"/>
        <v>45365</v>
      </c>
      <c r="R15" s="17">
        <f t="shared" si="3"/>
        <v>48078</v>
      </c>
    </row>
    <row r="16" spans="1:18" s="18" customFormat="1" x14ac:dyDescent="0.35">
      <c r="A16" s="16" t="s">
        <v>260</v>
      </c>
      <c r="B16" s="16" t="s">
        <v>261</v>
      </c>
      <c r="C16" s="16" t="s">
        <v>257</v>
      </c>
      <c r="D16" s="16" t="s">
        <v>250</v>
      </c>
      <c r="E16" s="16" t="s">
        <v>251</v>
      </c>
      <c r="F16" s="17">
        <v>15</v>
      </c>
      <c r="G16" s="17">
        <v>62661</v>
      </c>
      <c r="H16" s="17">
        <v>166</v>
      </c>
      <c r="I16" s="17">
        <v>0</v>
      </c>
      <c r="J16" s="17">
        <v>574</v>
      </c>
      <c r="K16" s="17">
        <f t="shared" si="0"/>
        <v>63401</v>
      </c>
      <c r="L16" s="17">
        <v>12493</v>
      </c>
      <c r="M16" s="17">
        <v>3624</v>
      </c>
      <c r="N16" s="17">
        <v>0</v>
      </c>
      <c r="O16" s="17">
        <v>0</v>
      </c>
      <c r="P16" s="17">
        <f t="shared" si="1"/>
        <v>16117</v>
      </c>
      <c r="Q16" s="17">
        <f t="shared" si="2"/>
        <v>47284</v>
      </c>
      <c r="R16" s="17">
        <f t="shared" si="3"/>
        <v>50168</v>
      </c>
    </row>
    <row r="17" spans="1:18" s="18" customFormat="1" x14ac:dyDescent="0.35">
      <c r="A17" s="16" t="s">
        <v>262</v>
      </c>
      <c r="B17" s="16" t="s">
        <v>263</v>
      </c>
      <c r="C17" s="16" t="s">
        <v>257</v>
      </c>
      <c r="D17" s="16" t="s">
        <v>250</v>
      </c>
      <c r="E17" s="16" t="s">
        <v>251</v>
      </c>
      <c r="F17" s="17">
        <v>15</v>
      </c>
      <c r="G17" s="17">
        <v>51159</v>
      </c>
      <c r="H17" s="17">
        <v>0</v>
      </c>
      <c r="I17" s="17">
        <v>0</v>
      </c>
      <c r="J17" s="17">
        <v>0</v>
      </c>
      <c r="K17" s="17">
        <f t="shared" si="0"/>
        <v>51159</v>
      </c>
      <c r="L17" s="17">
        <v>63693</v>
      </c>
      <c r="M17" s="17">
        <v>975</v>
      </c>
      <c r="N17" s="17">
        <v>0</v>
      </c>
      <c r="O17" s="17">
        <v>0</v>
      </c>
      <c r="P17" s="17">
        <f t="shared" si="1"/>
        <v>64668</v>
      </c>
      <c r="Q17" s="17">
        <f t="shared" si="2"/>
        <v>-13509</v>
      </c>
      <c r="R17" s="17">
        <f t="shared" si="3"/>
        <v>-12534</v>
      </c>
    </row>
    <row r="18" spans="1:18" s="18" customFormat="1" x14ac:dyDescent="0.35">
      <c r="A18" s="16" t="s">
        <v>264</v>
      </c>
      <c r="B18" s="16" t="s">
        <v>265</v>
      </c>
      <c r="C18" s="16" t="s">
        <v>257</v>
      </c>
      <c r="D18" s="16" t="s">
        <v>250</v>
      </c>
      <c r="E18" s="16" t="s">
        <v>251</v>
      </c>
      <c r="F18" s="17">
        <v>15</v>
      </c>
      <c r="G18" s="17">
        <v>31748</v>
      </c>
      <c r="H18" s="17">
        <v>0</v>
      </c>
      <c r="I18" s="17">
        <v>0</v>
      </c>
      <c r="J18" s="17">
        <v>0</v>
      </c>
      <c r="K18" s="17">
        <f t="shared" si="0"/>
        <v>31748</v>
      </c>
      <c r="L18" s="17">
        <v>20928</v>
      </c>
      <c r="M18" s="17">
        <v>2641</v>
      </c>
      <c r="N18" s="17">
        <v>0</v>
      </c>
      <c r="O18" s="17">
        <v>0</v>
      </c>
      <c r="P18" s="17">
        <f t="shared" si="1"/>
        <v>23569</v>
      </c>
      <c r="Q18" s="17">
        <f t="shared" si="2"/>
        <v>8179</v>
      </c>
      <c r="R18" s="17">
        <f t="shared" si="3"/>
        <v>10820</v>
      </c>
    </row>
    <row r="19" spans="1:18" s="18" customFormat="1" x14ac:dyDescent="0.35">
      <c r="A19" s="16" t="s">
        <v>266</v>
      </c>
      <c r="B19" s="16" t="s">
        <v>267</v>
      </c>
      <c r="C19" s="16" t="s">
        <v>257</v>
      </c>
      <c r="D19" s="16" t="s">
        <v>250</v>
      </c>
      <c r="E19" s="16" t="s">
        <v>251</v>
      </c>
      <c r="F19" s="17">
        <v>15</v>
      </c>
      <c r="G19" s="17">
        <v>74292</v>
      </c>
      <c r="H19" s="17">
        <v>0</v>
      </c>
      <c r="I19" s="17">
        <v>0</v>
      </c>
      <c r="J19" s="17">
        <v>0</v>
      </c>
      <c r="K19" s="17">
        <f t="shared" si="0"/>
        <v>74292</v>
      </c>
      <c r="L19" s="17">
        <v>17585</v>
      </c>
      <c r="M19" s="17">
        <v>2090</v>
      </c>
      <c r="N19" s="17">
        <v>0</v>
      </c>
      <c r="O19" s="17">
        <v>0</v>
      </c>
      <c r="P19" s="17">
        <f t="shared" si="1"/>
        <v>19675</v>
      </c>
      <c r="Q19" s="17">
        <f t="shared" si="2"/>
        <v>54617</v>
      </c>
      <c r="R19" s="17">
        <f t="shared" si="3"/>
        <v>56707</v>
      </c>
    </row>
    <row r="20" spans="1:18" s="18" customFormat="1" x14ac:dyDescent="0.35">
      <c r="A20" s="16" t="s">
        <v>268</v>
      </c>
      <c r="B20" s="16" t="s">
        <v>269</v>
      </c>
      <c r="C20" s="16" t="s">
        <v>257</v>
      </c>
      <c r="D20" s="16" t="s">
        <v>250</v>
      </c>
      <c r="E20" s="16" t="s">
        <v>251</v>
      </c>
      <c r="F20" s="17">
        <v>15</v>
      </c>
      <c r="G20" s="17">
        <v>75414</v>
      </c>
      <c r="H20" s="17">
        <v>0</v>
      </c>
      <c r="I20" s="17">
        <v>0</v>
      </c>
      <c r="J20" s="17">
        <v>0</v>
      </c>
      <c r="K20" s="17">
        <f t="shared" si="0"/>
        <v>75414</v>
      </c>
      <c r="L20" s="17">
        <v>45460</v>
      </c>
      <c r="M20" s="17">
        <v>2438</v>
      </c>
      <c r="N20" s="17">
        <v>0</v>
      </c>
      <c r="O20" s="17">
        <v>0</v>
      </c>
      <c r="P20" s="17">
        <f t="shared" si="1"/>
        <v>47898</v>
      </c>
      <c r="Q20" s="17">
        <f t="shared" si="2"/>
        <v>27516</v>
      </c>
      <c r="R20" s="17">
        <f t="shared" si="3"/>
        <v>29954</v>
      </c>
    </row>
    <row r="21" spans="1:18" s="18" customFormat="1" x14ac:dyDescent="0.35">
      <c r="A21" s="16" t="s">
        <v>270</v>
      </c>
      <c r="B21" s="16" t="s">
        <v>271</v>
      </c>
      <c r="C21" s="16" t="s">
        <v>257</v>
      </c>
      <c r="D21" s="16" t="s">
        <v>250</v>
      </c>
      <c r="E21" s="16" t="s">
        <v>251</v>
      </c>
      <c r="F21" s="17">
        <v>15</v>
      </c>
      <c r="G21" s="17">
        <v>53620</v>
      </c>
      <c r="H21" s="17">
        <v>0</v>
      </c>
      <c r="I21" s="17">
        <v>0</v>
      </c>
      <c r="J21" s="17">
        <v>0</v>
      </c>
      <c r="K21" s="17">
        <f t="shared" si="0"/>
        <v>53620</v>
      </c>
      <c r="L21" s="17">
        <v>29403</v>
      </c>
      <c r="M21" s="17">
        <v>1128</v>
      </c>
      <c r="N21" s="17">
        <v>0</v>
      </c>
      <c r="O21" s="17">
        <v>0</v>
      </c>
      <c r="P21" s="17">
        <f t="shared" si="1"/>
        <v>30531</v>
      </c>
      <c r="Q21" s="17">
        <f t="shared" si="2"/>
        <v>23089</v>
      </c>
      <c r="R21" s="17">
        <f t="shared" si="3"/>
        <v>24217</v>
      </c>
    </row>
    <row r="22" spans="1:18" s="18" customFormat="1" x14ac:dyDescent="0.35">
      <c r="A22" s="16" t="s">
        <v>272</v>
      </c>
      <c r="B22" s="16" t="s">
        <v>273</v>
      </c>
      <c r="C22" s="16" t="s">
        <v>257</v>
      </c>
      <c r="D22" s="16" t="s">
        <v>250</v>
      </c>
      <c r="E22" s="16" t="s">
        <v>251</v>
      </c>
      <c r="F22" s="17">
        <v>15</v>
      </c>
      <c r="G22" s="17">
        <v>53076</v>
      </c>
      <c r="H22" s="17">
        <v>0</v>
      </c>
      <c r="I22" s="17">
        <v>0</v>
      </c>
      <c r="J22" s="17">
        <v>0</v>
      </c>
      <c r="K22" s="17">
        <f t="shared" si="0"/>
        <v>53076</v>
      </c>
      <c r="L22" s="17">
        <v>57965</v>
      </c>
      <c r="M22" s="17">
        <v>1331</v>
      </c>
      <c r="N22" s="17">
        <v>0</v>
      </c>
      <c r="O22" s="17">
        <v>0</v>
      </c>
      <c r="P22" s="17">
        <f t="shared" si="1"/>
        <v>59296</v>
      </c>
      <c r="Q22" s="17">
        <f t="shared" si="2"/>
        <v>-6220</v>
      </c>
      <c r="R22" s="17">
        <f t="shared" si="3"/>
        <v>-4889</v>
      </c>
    </row>
    <row r="23" spans="1:18" s="18" customFormat="1" x14ac:dyDescent="0.35">
      <c r="A23" s="16" t="s">
        <v>274</v>
      </c>
      <c r="B23" s="16" t="s">
        <v>275</v>
      </c>
      <c r="C23" s="16" t="s">
        <v>257</v>
      </c>
      <c r="D23" s="16" t="s">
        <v>250</v>
      </c>
      <c r="E23" s="16" t="s">
        <v>251</v>
      </c>
      <c r="F23" s="17">
        <v>15</v>
      </c>
      <c r="G23" s="17">
        <v>33227</v>
      </c>
      <c r="H23" s="17">
        <v>0</v>
      </c>
      <c r="I23" s="17">
        <v>0</v>
      </c>
      <c r="J23" s="17">
        <v>0</v>
      </c>
      <c r="K23" s="17">
        <f t="shared" si="0"/>
        <v>33227</v>
      </c>
      <c r="L23" s="17">
        <v>23422</v>
      </c>
      <c r="M23" s="17">
        <v>2158</v>
      </c>
      <c r="N23" s="17">
        <v>0</v>
      </c>
      <c r="O23" s="17">
        <v>0</v>
      </c>
      <c r="P23" s="17">
        <f t="shared" si="1"/>
        <v>25580</v>
      </c>
      <c r="Q23" s="17">
        <f t="shared" si="2"/>
        <v>7647</v>
      </c>
      <c r="R23" s="17">
        <f t="shared" si="3"/>
        <v>9805</v>
      </c>
    </row>
    <row r="24" spans="1:18" s="18" customFormat="1" x14ac:dyDescent="0.35">
      <c r="A24" s="16" t="s">
        <v>276</v>
      </c>
      <c r="B24" s="16" t="s">
        <v>277</v>
      </c>
      <c r="C24" s="16" t="s">
        <v>257</v>
      </c>
      <c r="D24" s="16" t="s">
        <v>250</v>
      </c>
      <c r="E24" s="16" t="s">
        <v>251</v>
      </c>
      <c r="F24" s="17">
        <v>15</v>
      </c>
      <c r="G24" s="17">
        <v>16045</v>
      </c>
      <c r="H24" s="17">
        <v>0</v>
      </c>
      <c r="I24" s="17">
        <v>0</v>
      </c>
      <c r="J24" s="17">
        <v>0</v>
      </c>
      <c r="K24" s="17">
        <f t="shared" si="0"/>
        <v>16045</v>
      </c>
      <c r="L24" s="17">
        <v>61637</v>
      </c>
      <c r="M24" s="17">
        <v>1426</v>
      </c>
      <c r="N24" s="17">
        <v>0</v>
      </c>
      <c r="O24" s="17">
        <v>0</v>
      </c>
      <c r="P24" s="17">
        <f t="shared" si="1"/>
        <v>63063</v>
      </c>
      <c r="Q24" s="17">
        <f t="shared" si="2"/>
        <v>-47018</v>
      </c>
      <c r="R24" s="17">
        <f t="shared" si="3"/>
        <v>-45592</v>
      </c>
    </row>
    <row r="25" spans="1:18" s="18" customFormat="1" x14ac:dyDescent="0.35">
      <c r="A25" s="16" t="s">
        <v>278</v>
      </c>
      <c r="B25" s="16" t="s">
        <v>279</v>
      </c>
      <c r="C25" s="16" t="s">
        <v>257</v>
      </c>
      <c r="D25" s="16" t="s">
        <v>250</v>
      </c>
      <c r="E25" s="16" t="s">
        <v>251</v>
      </c>
      <c r="F25" s="17">
        <v>15</v>
      </c>
      <c r="G25" s="17">
        <v>43186</v>
      </c>
      <c r="H25" s="17">
        <v>0</v>
      </c>
      <c r="I25" s="17">
        <v>0</v>
      </c>
      <c r="J25" s="17">
        <v>0</v>
      </c>
      <c r="K25" s="17">
        <f t="shared" si="0"/>
        <v>43186</v>
      </c>
      <c r="L25" s="17">
        <v>28028</v>
      </c>
      <c r="M25" s="17">
        <v>2192</v>
      </c>
      <c r="N25" s="17">
        <v>0</v>
      </c>
      <c r="O25" s="17">
        <v>0</v>
      </c>
      <c r="P25" s="17">
        <f t="shared" si="1"/>
        <v>30220</v>
      </c>
      <c r="Q25" s="17">
        <f t="shared" si="2"/>
        <v>12966</v>
      </c>
      <c r="R25" s="17">
        <f t="shared" si="3"/>
        <v>15158</v>
      </c>
    </row>
    <row r="27" spans="1:18" x14ac:dyDescent="0.35">
      <c r="A27" s="25" t="s">
        <v>917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</row>
    <row r="28" spans="1:18" s="5" customFormat="1" ht="34.5" x14ac:dyDescent="0.35">
      <c r="A28" s="1" t="s">
        <v>217</v>
      </c>
      <c r="B28" s="1" t="s">
        <v>218</v>
      </c>
      <c r="C28" s="1" t="s">
        <v>219</v>
      </c>
      <c r="D28" s="1" t="s">
        <v>220</v>
      </c>
      <c r="E28" s="1" t="s">
        <v>221</v>
      </c>
      <c r="F28" s="1" t="s">
        <v>222</v>
      </c>
      <c r="G28" s="1" t="s">
        <v>223</v>
      </c>
      <c r="H28" s="1" t="s">
        <v>224</v>
      </c>
      <c r="I28" s="1" t="s">
        <v>225</v>
      </c>
      <c r="J28" s="1" t="s">
        <v>226</v>
      </c>
      <c r="K28" s="1" t="s">
        <v>227</v>
      </c>
      <c r="L28" s="1" t="s">
        <v>228</v>
      </c>
      <c r="M28" s="1" t="s">
        <v>229</v>
      </c>
      <c r="N28" s="1" t="s">
        <v>230</v>
      </c>
      <c r="O28" s="1" t="s">
        <v>231</v>
      </c>
      <c r="P28" s="1" t="s">
        <v>232</v>
      </c>
      <c r="Q28" s="1" t="s">
        <v>233</v>
      </c>
      <c r="R28" s="1" t="s">
        <v>234</v>
      </c>
    </row>
    <row r="29" spans="1:18" s="18" customFormat="1" x14ac:dyDescent="0.35">
      <c r="A29" s="16" t="s">
        <v>280</v>
      </c>
      <c r="B29" s="16" t="s">
        <v>281</v>
      </c>
      <c r="C29" s="16" t="s">
        <v>282</v>
      </c>
      <c r="D29" s="16" t="s">
        <v>250</v>
      </c>
      <c r="E29" s="16" t="s">
        <v>251</v>
      </c>
      <c r="F29" s="17">
        <v>6</v>
      </c>
      <c r="G29" s="17">
        <v>18949</v>
      </c>
      <c r="H29" s="17">
        <v>1104</v>
      </c>
      <c r="I29" s="17">
        <v>0</v>
      </c>
      <c r="J29" s="17">
        <v>5071</v>
      </c>
      <c r="K29" s="17">
        <f t="shared" ref="K29:K43" si="4">G29+H29+I29+J29</f>
        <v>25124</v>
      </c>
      <c r="L29" s="17">
        <v>17482</v>
      </c>
      <c r="M29" s="17">
        <v>2245</v>
      </c>
      <c r="N29" s="17">
        <v>0</v>
      </c>
      <c r="O29" s="17">
        <v>-80</v>
      </c>
      <c r="P29" s="17">
        <f t="shared" ref="P29:P43" si="5">L29+M29+N29+O29</f>
        <v>19647</v>
      </c>
      <c r="Q29" s="17">
        <f t="shared" ref="Q29:Q43" si="6">K29-P29</f>
        <v>5477</v>
      </c>
      <c r="R29" s="17">
        <f t="shared" ref="R29:R43" si="7">G29-L29</f>
        <v>1467</v>
      </c>
    </row>
    <row r="30" spans="1:18" s="18" customFormat="1" x14ac:dyDescent="0.35">
      <c r="A30" s="16" t="s">
        <v>283</v>
      </c>
      <c r="B30" s="16" t="s">
        <v>284</v>
      </c>
      <c r="C30" s="16" t="s">
        <v>282</v>
      </c>
      <c r="D30" s="16" t="s">
        <v>250</v>
      </c>
      <c r="E30" s="16" t="s">
        <v>251</v>
      </c>
      <c r="F30" s="17">
        <v>6</v>
      </c>
      <c r="G30" s="17">
        <v>27323</v>
      </c>
      <c r="H30" s="17">
        <v>1189</v>
      </c>
      <c r="I30" s="17">
        <v>0</v>
      </c>
      <c r="J30" s="17">
        <v>6638</v>
      </c>
      <c r="K30" s="17">
        <f t="shared" si="4"/>
        <v>35150</v>
      </c>
      <c r="L30" s="17">
        <v>25644</v>
      </c>
      <c r="M30" s="17">
        <v>2422</v>
      </c>
      <c r="N30" s="17">
        <v>0</v>
      </c>
      <c r="O30" s="17">
        <v>0</v>
      </c>
      <c r="P30" s="17">
        <f t="shared" si="5"/>
        <v>28066</v>
      </c>
      <c r="Q30" s="17">
        <f t="shared" si="6"/>
        <v>7084</v>
      </c>
      <c r="R30" s="17">
        <f t="shared" si="7"/>
        <v>1679</v>
      </c>
    </row>
    <row r="31" spans="1:18" s="18" customFormat="1" x14ac:dyDescent="0.35">
      <c r="A31" s="16" t="s">
        <v>285</v>
      </c>
      <c r="B31" s="16" t="s">
        <v>286</v>
      </c>
      <c r="C31" s="16" t="s">
        <v>282</v>
      </c>
      <c r="D31" s="16" t="s">
        <v>250</v>
      </c>
      <c r="E31" s="16" t="s">
        <v>251</v>
      </c>
      <c r="F31" s="17">
        <v>6</v>
      </c>
      <c r="G31" s="17">
        <v>50778</v>
      </c>
      <c r="H31" s="17">
        <v>1572</v>
      </c>
      <c r="I31" s="17">
        <v>0</v>
      </c>
      <c r="J31" s="17">
        <v>6090</v>
      </c>
      <c r="K31" s="17">
        <f t="shared" si="4"/>
        <v>58440</v>
      </c>
      <c r="L31" s="17">
        <v>31008</v>
      </c>
      <c r="M31" s="17">
        <v>2950</v>
      </c>
      <c r="N31" s="17">
        <v>0</v>
      </c>
      <c r="O31" s="17">
        <v>0</v>
      </c>
      <c r="P31" s="17">
        <f t="shared" si="5"/>
        <v>33958</v>
      </c>
      <c r="Q31" s="17">
        <f t="shared" si="6"/>
        <v>24482</v>
      </c>
      <c r="R31" s="17">
        <f t="shared" si="7"/>
        <v>19770</v>
      </c>
    </row>
    <row r="32" spans="1:18" s="18" customFormat="1" x14ac:dyDescent="0.35">
      <c r="A32" s="16" t="s">
        <v>287</v>
      </c>
      <c r="B32" s="16" t="s">
        <v>288</v>
      </c>
      <c r="C32" s="16" t="s">
        <v>282</v>
      </c>
      <c r="D32" s="16" t="s">
        <v>250</v>
      </c>
      <c r="E32" s="16" t="s">
        <v>251</v>
      </c>
      <c r="F32" s="17">
        <v>6</v>
      </c>
      <c r="G32" s="17">
        <v>75118</v>
      </c>
      <c r="H32" s="17">
        <v>1654</v>
      </c>
      <c r="I32" s="17">
        <v>0</v>
      </c>
      <c r="J32" s="17">
        <v>0</v>
      </c>
      <c r="K32" s="17">
        <f t="shared" si="4"/>
        <v>76772</v>
      </c>
      <c r="L32" s="17">
        <v>66791</v>
      </c>
      <c r="M32" s="17">
        <v>1406</v>
      </c>
      <c r="N32" s="17">
        <v>0</v>
      </c>
      <c r="O32" s="17">
        <v>0</v>
      </c>
      <c r="P32" s="17">
        <f t="shared" si="5"/>
        <v>68197</v>
      </c>
      <c r="Q32" s="17">
        <f t="shared" si="6"/>
        <v>8575</v>
      </c>
      <c r="R32" s="17">
        <f t="shared" si="7"/>
        <v>8327</v>
      </c>
    </row>
    <row r="33" spans="1:18" s="18" customFormat="1" x14ac:dyDescent="0.35">
      <c r="A33" s="16" t="s">
        <v>289</v>
      </c>
      <c r="B33" s="16" t="s">
        <v>290</v>
      </c>
      <c r="C33" s="16" t="s">
        <v>282</v>
      </c>
      <c r="D33" s="16" t="s">
        <v>250</v>
      </c>
      <c r="E33" s="16" t="s">
        <v>251</v>
      </c>
      <c r="F33" s="17">
        <v>6</v>
      </c>
      <c r="G33" s="17">
        <v>29522</v>
      </c>
      <c r="H33" s="17">
        <v>0</v>
      </c>
      <c r="I33" s="17">
        <v>0</v>
      </c>
      <c r="J33" s="17">
        <v>0</v>
      </c>
      <c r="K33" s="17">
        <f t="shared" si="4"/>
        <v>29522</v>
      </c>
      <c r="L33" s="17">
        <v>42582</v>
      </c>
      <c r="M33" s="17">
        <v>2478</v>
      </c>
      <c r="N33" s="17">
        <v>0</v>
      </c>
      <c r="O33" s="17">
        <v>0</v>
      </c>
      <c r="P33" s="17">
        <f t="shared" si="5"/>
        <v>45060</v>
      </c>
      <c r="Q33" s="17">
        <f t="shared" si="6"/>
        <v>-15538</v>
      </c>
      <c r="R33" s="17">
        <f t="shared" si="7"/>
        <v>-13060</v>
      </c>
    </row>
    <row r="34" spans="1:18" s="18" customFormat="1" x14ac:dyDescent="0.35">
      <c r="A34" s="16" t="s">
        <v>291</v>
      </c>
      <c r="B34" s="16" t="s">
        <v>292</v>
      </c>
      <c r="C34" s="16" t="s">
        <v>282</v>
      </c>
      <c r="D34" s="16" t="s">
        <v>250</v>
      </c>
      <c r="E34" s="16" t="s">
        <v>251</v>
      </c>
      <c r="F34" s="17">
        <v>6</v>
      </c>
      <c r="G34" s="17">
        <v>27327</v>
      </c>
      <c r="H34" s="17">
        <v>0</v>
      </c>
      <c r="I34" s="17">
        <v>0</v>
      </c>
      <c r="J34" s="17">
        <v>0</v>
      </c>
      <c r="K34" s="17">
        <f t="shared" si="4"/>
        <v>27327</v>
      </c>
      <c r="L34" s="17">
        <v>56005</v>
      </c>
      <c r="M34" s="17">
        <v>3162</v>
      </c>
      <c r="N34" s="17">
        <v>0</v>
      </c>
      <c r="O34" s="17">
        <v>0</v>
      </c>
      <c r="P34" s="17">
        <f t="shared" si="5"/>
        <v>59167</v>
      </c>
      <c r="Q34" s="17">
        <f t="shared" si="6"/>
        <v>-31840</v>
      </c>
      <c r="R34" s="17">
        <f t="shared" si="7"/>
        <v>-28678</v>
      </c>
    </row>
    <row r="35" spans="1:18" s="18" customFormat="1" x14ac:dyDescent="0.35">
      <c r="A35" s="16" t="s">
        <v>293</v>
      </c>
      <c r="B35" s="16" t="s">
        <v>294</v>
      </c>
      <c r="C35" s="16" t="s">
        <v>282</v>
      </c>
      <c r="D35" s="16" t="s">
        <v>250</v>
      </c>
      <c r="E35" s="16" t="s">
        <v>251</v>
      </c>
      <c r="F35" s="17">
        <v>6</v>
      </c>
      <c r="G35" s="17">
        <v>37309</v>
      </c>
      <c r="H35" s="17">
        <v>0</v>
      </c>
      <c r="I35" s="17">
        <v>0</v>
      </c>
      <c r="J35" s="17">
        <v>0</v>
      </c>
      <c r="K35" s="17">
        <f t="shared" si="4"/>
        <v>37309</v>
      </c>
      <c r="L35" s="17">
        <v>18849</v>
      </c>
      <c r="M35" s="17">
        <v>3213</v>
      </c>
      <c r="N35" s="17">
        <v>0</v>
      </c>
      <c r="O35" s="17">
        <v>0</v>
      </c>
      <c r="P35" s="17">
        <f t="shared" si="5"/>
        <v>22062</v>
      </c>
      <c r="Q35" s="17">
        <f t="shared" si="6"/>
        <v>15247</v>
      </c>
      <c r="R35" s="17">
        <f t="shared" si="7"/>
        <v>18460</v>
      </c>
    </row>
    <row r="36" spans="1:18" s="18" customFormat="1" x14ac:dyDescent="0.35">
      <c r="A36" s="16" t="s">
        <v>295</v>
      </c>
      <c r="B36" s="16" t="s">
        <v>296</v>
      </c>
      <c r="C36" s="16" t="s">
        <v>282</v>
      </c>
      <c r="D36" s="16" t="s">
        <v>250</v>
      </c>
      <c r="E36" s="16" t="s">
        <v>251</v>
      </c>
      <c r="F36" s="17">
        <v>6</v>
      </c>
      <c r="G36" s="17">
        <v>81285</v>
      </c>
      <c r="H36" s="17">
        <v>0</v>
      </c>
      <c r="I36" s="17">
        <v>0</v>
      </c>
      <c r="J36" s="17">
        <v>0</v>
      </c>
      <c r="K36" s="17">
        <f t="shared" si="4"/>
        <v>81285</v>
      </c>
      <c r="L36" s="17">
        <v>43342</v>
      </c>
      <c r="M36" s="17">
        <v>1147</v>
      </c>
      <c r="N36" s="17">
        <v>0</v>
      </c>
      <c r="O36" s="17">
        <v>0</v>
      </c>
      <c r="P36" s="17">
        <f t="shared" si="5"/>
        <v>44489</v>
      </c>
      <c r="Q36" s="17">
        <f t="shared" si="6"/>
        <v>36796</v>
      </c>
      <c r="R36" s="17">
        <f t="shared" si="7"/>
        <v>37943</v>
      </c>
    </row>
    <row r="37" spans="1:18" s="18" customFormat="1" x14ac:dyDescent="0.35">
      <c r="A37" s="16" t="s">
        <v>297</v>
      </c>
      <c r="B37" s="16" t="s">
        <v>298</v>
      </c>
      <c r="C37" s="16" t="s">
        <v>282</v>
      </c>
      <c r="D37" s="16" t="s">
        <v>250</v>
      </c>
      <c r="E37" s="16" t="s">
        <v>251</v>
      </c>
      <c r="F37" s="17">
        <v>6</v>
      </c>
      <c r="G37" s="17">
        <v>30250</v>
      </c>
      <c r="H37" s="17">
        <v>0</v>
      </c>
      <c r="I37" s="17">
        <v>0</v>
      </c>
      <c r="J37" s="17">
        <v>0</v>
      </c>
      <c r="K37" s="17">
        <f t="shared" si="4"/>
        <v>30250</v>
      </c>
      <c r="L37" s="17">
        <v>63367</v>
      </c>
      <c r="M37" s="17">
        <v>2478</v>
      </c>
      <c r="N37" s="17">
        <v>0</v>
      </c>
      <c r="O37" s="17">
        <v>0</v>
      </c>
      <c r="P37" s="17">
        <f t="shared" si="5"/>
        <v>65845</v>
      </c>
      <c r="Q37" s="17">
        <f t="shared" si="6"/>
        <v>-35595</v>
      </c>
      <c r="R37" s="17">
        <f t="shared" si="7"/>
        <v>-33117</v>
      </c>
    </row>
    <row r="38" spans="1:18" s="18" customFormat="1" x14ac:dyDescent="0.35">
      <c r="A38" s="16" t="s">
        <v>299</v>
      </c>
      <c r="B38" s="16" t="s">
        <v>300</v>
      </c>
      <c r="C38" s="16" t="s">
        <v>282</v>
      </c>
      <c r="D38" s="16" t="s">
        <v>250</v>
      </c>
      <c r="E38" s="16" t="s">
        <v>251</v>
      </c>
      <c r="F38" s="17">
        <v>6</v>
      </c>
      <c r="G38" s="17">
        <v>79868</v>
      </c>
      <c r="H38" s="17">
        <v>0</v>
      </c>
      <c r="I38" s="17">
        <v>0</v>
      </c>
      <c r="J38" s="17">
        <v>0</v>
      </c>
      <c r="K38" s="17">
        <f t="shared" si="4"/>
        <v>79868</v>
      </c>
      <c r="L38" s="17">
        <v>44173</v>
      </c>
      <c r="M38" s="17">
        <v>2379</v>
      </c>
      <c r="N38" s="17">
        <v>0</v>
      </c>
      <c r="O38" s="17">
        <v>0</v>
      </c>
      <c r="P38" s="17">
        <f t="shared" si="5"/>
        <v>46552</v>
      </c>
      <c r="Q38" s="17">
        <f t="shared" si="6"/>
        <v>33316</v>
      </c>
      <c r="R38" s="17">
        <f t="shared" si="7"/>
        <v>35695</v>
      </c>
    </row>
    <row r="39" spans="1:18" s="18" customFormat="1" x14ac:dyDescent="0.35">
      <c r="A39" s="16" t="s">
        <v>301</v>
      </c>
      <c r="B39" s="16" t="s">
        <v>302</v>
      </c>
      <c r="C39" s="16" t="s">
        <v>282</v>
      </c>
      <c r="D39" s="16" t="s">
        <v>250</v>
      </c>
      <c r="E39" s="16" t="s">
        <v>251</v>
      </c>
      <c r="F39" s="17">
        <v>6</v>
      </c>
      <c r="G39" s="17">
        <v>73304</v>
      </c>
      <c r="H39" s="17">
        <v>0</v>
      </c>
      <c r="I39" s="17">
        <v>0</v>
      </c>
      <c r="J39" s="17">
        <v>0</v>
      </c>
      <c r="K39" s="17">
        <f t="shared" si="4"/>
        <v>73304</v>
      </c>
      <c r="L39" s="17">
        <v>69456</v>
      </c>
      <c r="M39" s="17">
        <v>2053</v>
      </c>
      <c r="N39" s="17">
        <v>0</v>
      </c>
      <c r="O39" s="17">
        <v>0</v>
      </c>
      <c r="P39" s="17">
        <f t="shared" si="5"/>
        <v>71509</v>
      </c>
      <c r="Q39" s="17">
        <f t="shared" si="6"/>
        <v>1795</v>
      </c>
      <c r="R39" s="17">
        <f t="shared" si="7"/>
        <v>3848</v>
      </c>
    </row>
    <row r="40" spans="1:18" s="18" customFormat="1" x14ac:dyDescent="0.35">
      <c r="A40" s="16" t="s">
        <v>303</v>
      </c>
      <c r="B40" s="16" t="s">
        <v>304</v>
      </c>
      <c r="C40" s="16" t="s">
        <v>282</v>
      </c>
      <c r="D40" s="16" t="s">
        <v>250</v>
      </c>
      <c r="E40" s="16" t="s">
        <v>251</v>
      </c>
      <c r="F40" s="17">
        <v>6</v>
      </c>
      <c r="G40" s="17">
        <v>29345</v>
      </c>
      <c r="H40" s="17">
        <v>0</v>
      </c>
      <c r="I40" s="17">
        <v>0</v>
      </c>
      <c r="J40" s="17">
        <v>0</v>
      </c>
      <c r="K40" s="17">
        <f t="shared" si="4"/>
        <v>29345</v>
      </c>
      <c r="L40" s="17">
        <v>65688</v>
      </c>
      <c r="M40" s="17">
        <v>3376</v>
      </c>
      <c r="N40" s="17">
        <v>0</v>
      </c>
      <c r="O40" s="17">
        <v>0</v>
      </c>
      <c r="P40" s="17">
        <f t="shared" si="5"/>
        <v>69064</v>
      </c>
      <c r="Q40" s="17">
        <f t="shared" si="6"/>
        <v>-39719</v>
      </c>
      <c r="R40" s="17">
        <f t="shared" si="7"/>
        <v>-36343</v>
      </c>
    </row>
    <row r="41" spans="1:18" s="18" customFormat="1" x14ac:dyDescent="0.35">
      <c r="A41" s="16" t="s">
        <v>305</v>
      </c>
      <c r="B41" s="16" t="s">
        <v>306</v>
      </c>
      <c r="C41" s="16" t="s">
        <v>282</v>
      </c>
      <c r="D41" s="16" t="s">
        <v>250</v>
      </c>
      <c r="E41" s="16" t="s">
        <v>251</v>
      </c>
      <c r="F41" s="17">
        <v>6</v>
      </c>
      <c r="G41" s="17">
        <v>62723</v>
      </c>
      <c r="H41" s="17">
        <v>0</v>
      </c>
      <c r="I41" s="17">
        <v>0</v>
      </c>
      <c r="J41" s="17">
        <v>0</v>
      </c>
      <c r="K41" s="17">
        <f t="shared" si="4"/>
        <v>62723</v>
      </c>
      <c r="L41" s="17">
        <v>35073</v>
      </c>
      <c r="M41" s="17">
        <v>2124</v>
      </c>
      <c r="N41" s="17">
        <v>0</v>
      </c>
      <c r="O41" s="17">
        <v>0</v>
      </c>
      <c r="P41" s="17">
        <f t="shared" si="5"/>
        <v>37197</v>
      </c>
      <c r="Q41" s="17">
        <f t="shared" si="6"/>
        <v>25526</v>
      </c>
      <c r="R41" s="17">
        <f t="shared" si="7"/>
        <v>27650</v>
      </c>
    </row>
    <row r="42" spans="1:18" s="18" customFormat="1" x14ac:dyDescent="0.35">
      <c r="A42" s="16" t="s">
        <v>307</v>
      </c>
      <c r="B42" s="16" t="s">
        <v>308</v>
      </c>
      <c r="C42" s="16" t="s">
        <v>282</v>
      </c>
      <c r="D42" s="16" t="s">
        <v>250</v>
      </c>
      <c r="E42" s="16" t="s">
        <v>251</v>
      </c>
      <c r="F42" s="17">
        <v>6</v>
      </c>
      <c r="G42" s="17">
        <v>55371</v>
      </c>
      <c r="H42" s="17">
        <v>0</v>
      </c>
      <c r="I42" s="17">
        <v>0</v>
      </c>
      <c r="J42" s="17">
        <v>0</v>
      </c>
      <c r="K42" s="17">
        <f t="shared" si="4"/>
        <v>55371</v>
      </c>
      <c r="L42" s="17">
        <v>12887</v>
      </c>
      <c r="M42" s="17">
        <v>1887</v>
      </c>
      <c r="N42" s="17">
        <v>0</v>
      </c>
      <c r="O42" s="17">
        <v>0</v>
      </c>
      <c r="P42" s="17">
        <f t="shared" si="5"/>
        <v>14774</v>
      </c>
      <c r="Q42" s="17">
        <f t="shared" si="6"/>
        <v>40597</v>
      </c>
      <c r="R42" s="17">
        <f t="shared" si="7"/>
        <v>42484</v>
      </c>
    </row>
    <row r="43" spans="1:18" s="18" customFormat="1" x14ac:dyDescent="0.35">
      <c r="A43" s="16" t="s">
        <v>309</v>
      </c>
      <c r="B43" s="16" t="s">
        <v>310</v>
      </c>
      <c r="C43" s="16" t="s">
        <v>282</v>
      </c>
      <c r="D43" s="16" t="s">
        <v>311</v>
      </c>
      <c r="E43" s="16" t="s">
        <v>312</v>
      </c>
      <c r="F43" s="17">
        <v>6</v>
      </c>
      <c r="G43" s="17">
        <v>41410</v>
      </c>
      <c r="H43" s="17">
        <v>0</v>
      </c>
      <c r="I43" s="17">
        <v>-41410</v>
      </c>
      <c r="J43" s="17">
        <v>0</v>
      </c>
      <c r="K43" s="17">
        <f t="shared" si="4"/>
        <v>0</v>
      </c>
      <c r="L43" s="17">
        <v>41166</v>
      </c>
      <c r="M43" s="17">
        <v>0</v>
      </c>
      <c r="N43" s="17">
        <v>-41166</v>
      </c>
      <c r="O43" s="17">
        <v>0</v>
      </c>
      <c r="P43" s="17">
        <f t="shared" si="5"/>
        <v>0</v>
      </c>
      <c r="Q43" s="17">
        <f t="shared" si="6"/>
        <v>0</v>
      </c>
      <c r="R43" s="17">
        <f t="shared" si="7"/>
        <v>244</v>
      </c>
    </row>
    <row r="45" spans="1:18" x14ac:dyDescent="0.35">
      <c r="A45" s="25" t="s">
        <v>918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</row>
    <row r="46" spans="1:18" s="5" customFormat="1" ht="34.5" x14ac:dyDescent="0.35">
      <c r="A46" s="1" t="s">
        <v>217</v>
      </c>
      <c r="B46" s="1" t="s">
        <v>218</v>
      </c>
      <c r="C46" s="1" t="s">
        <v>219</v>
      </c>
      <c r="D46" s="1" t="s">
        <v>220</v>
      </c>
      <c r="E46" s="1" t="s">
        <v>221</v>
      </c>
      <c r="F46" s="1" t="s">
        <v>222</v>
      </c>
      <c r="G46" s="1" t="s">
        <v>223</v>
      </c>
      <c r="H46" s="1" t="s">
        <v>224</v>
      </c>
      <c r="I46" s="1" t="s">
        <v>225</v>
      </c>
      <c r="J46" s="1" t="s">
        <v>226</v>
      </c>
      <c r="K46" s="1" t="s">
        <v>227</v>
      </c>
      <c r="L46" s="1" t="s">
        <v>228</v>
      </c>
      <c r="M46" s="1" t="s">
        <v>229</v>
      </c>
      <c r="N46" s="1" t="s">
        <v>230</v>
      </c>
      <c r="O46" s="1" t="s">
        <v>231</v>
      </c>
      <c r="P46" s="1" t="s">
        <v>232</v>
      </c>
      <c r="Q46" s="1" t="s">
        <v>233</v>
      </c>
      <c r="R46" s="1" t="s">
        <v>234</v>
      </c>
    </row>
    <row r="47" spans="1:18" s="18" customFormat="1" x14ac:dyDescent="0.35">
      <c r="A47" s="16" t="s">
        <v>313</v>
      </c>
      <c r="B47" s="16" t="s">
        <v>314</v>
      </c>
      <c r="C47" s="16" t="s">
        <v>315</v>
      </c>
      <c r="D47" s="16" t="s">
        <v>316</v>
      </c>
      <c r="E47" s="16" t="s">
        <v>317</v>
      </c>
      <c r="F47" s="17" t="s">
        <v>318</v>
      </c>
      <c r="G47" s="17">
        <v>39685</v>
      </c>
      <c r="H47" s="17">
        <v>39089</v>
      </c>
      <c r="I47" s="17">
        <v>0</v>
      </c>
      <c r="J47" s="17">
        <v>1318</v>
      </c>
      <c r="K47" s="17">
        <f t="shared" ref="K47:K52" si="8">G47+H47+I47+J47</f>
        <v>80092</v>
      </c>
      <c r="L47" s="17">
        <v>0</v>
      </c>
      <c r="M47" s="17">
        <v>0</v>
      </c>
      <c r="N47" s="17">
        <v>0</v>
      </c>
      <c r="O47" s="17">
        <v>0</v>
      </c>
      <c r="P47" s="17">
        <f t="shared" ref="P47:P52" si="9">L47+M47+N47+O47</f>
        <v>0</v>
      </c>
      <c r="Q47" s="17">
        <f t="shared" ref="Q47:Q52" si="10">K47-P47</f>
        <v>80092</v>
      </c>
      <c r="R47" s="17">
        <f t="shared" ref="R47:R52" si="11">G47-L47</f>
        <v>39685</v>
      </c>
    </row>
    <row r="48" spans="1:18" s="18" customFormat="1" x14ac:dyDescent="0.35">
      <c r="A48" s="16" t="s">
        <v>319</v>
      </c>
      <c r="B48" s="16" t="s">
        <v>320</v>
      </c>
      <c r="C48" s="16" t="s">
        <v>315</v>
      </c>
      <c r="D48" s="16" t="s">
        <v>316</v>
      </c>
      <c r="E48" s="16" t="s">
        <v>317</v>
      </c>
      <c r="F48" s="17" t="s">
        <v>318</v>
      </c>
      <c r="G48" s="17">
        <v>29666</v>
      </c>
      <c r="H48" s="17">
        <v>10957</v>
      </c>
      <c r="I48" s="17">
        <v>0</v>
      </c>
      <c r="J48" s="17">
        <v>-3491</v>
      </c>
      <c r="K48" s="17">
        <f t="shared" si="8"/>
        <v>37132</v>
      </c>
      <c r="L48" s="17">
        <v>0</v>
      </c>
      <c r="M48" s="17">
        <v>0</v>
      </c>
      <c r="N48" s="17">
        <v>0</v>
      </c>
      <c r="O48" s="17">
        <v>0</v>
      </c>
      <c r="P48" s="17">
        <f t="shared" si="9"/>
        <v>0</v>
      </c>
      <c r="Q48" s="17">
        <f t="shared" si="10"/>
        <v>37132</v>
      </c>
      <c r="R48" s="17">
        <f t="shared" si="11"/>
        <v>29666</v>
      </c>
    </row>
    <row r="49" spans="1:18" s="18" customFormat="1" x14ac:dyDescent="0.35">
      <c r="A49" s="16" t="s">
        <v>321</v>
      </c>
      <c r="B49" s="16" t="s">
        <v>322</v>
      </c>
      <c r="C49" s="16" t="s">
        <v>315</v>
      </c>
      <c r="D49" s="16" t="s">
        <v>316</v>
      </c>
      <c r="E49" s="16" t="s">
        <v>317</v>
      </c>
      <c r="F49" s="17" t="s">
        <v>318</v>
      </c>
      <c r="G49" s="17">
        <v>25354</v>
      </c>
      <c r="H49" s="17">
        <v>22404</v>
      </c>
      <c r="I49" s="17">
        <v>0</v>
      </c>
      <c r="J49" s="17">
        <v>2941</v>
      </c>
      <c r="K49" s="17">
        <f t="shared" si="8"/>
        <v>50699</v>
      </c>
      <c r="L49" s="17">
        <v>0</v>
      </c>
      <c r="M49" s="17">
        <v>0</v>
      </c>
      <c r="N49" s="17">
        <v>0</v>
      </c>
      <c r="O49" s="17">
        <v>0</v>
      </c>
      <c r="P49" s="17">
        <f t="shared" si="9"/>
        <v>0</v>
      </c>
      <c r="Q49" s="17">
        <f t="shared" si="10"/>
        <v>50699</v>
      </c>
      <c r="R49" s="17">
        <f t="shared" si="11"/>
        <v>25354</v>
      </c>
    </row>
    <row r="50" spans="1:18" s="18" customFormat="1" x14ac:dyDescent="0.35">
      <c r="A50" s="16" t="s">
        <v>323</v>
      </c>
      <c r="B50" s="16" t="s">
        <v>324</v>
      </c>
      <c r="C50" s="16" t="s">
        <v>315</v>
      </c>
      <c r="D50" s="16" t="s">
        <v>316</v>
      </c>
      <c r="E50" s="16" t="s">
        <v>317</v>
      </c>
      <c r="F50" s="17" t="s">
        <v>318</v>
      </c>
      <c r="G50" s="17">
        <v>75204</v>
      </c>
      <c r="H50" s="17">
        <v>20031</v>
      </c>
      <c r="I50" s="17">
        <v>0</v>
      </c>
      <c r="J50" s="17">
        <v>-5710</v>
      </c>
      <c r="K50" s="17">
        <f t="shared" si="8"/>
        <v>89525</v>
      </c>
      <c r="L50" s="17">
        <v>0</v>
      </c>
      <c r="M50" s="17">
        <v>0</v>
      </c>
      <c r="N50" s="17">
        <v>0</v>
      </c>
      <c r="O50" s="17">
        <v>0</v>
      </c>
      <c r="P50" s="17">
        <f t="shared" si="9"/>
        <v>0</v>
      </c>
      <c r="Q50" s="17">
        <f t="shared" si="10"/>
        <v>89525</v>
      </c>
      <c r="R50" s="17">
        <f t="shared" si="11"/>
        <v>75204</v>
      </c>
    </row>
    <row r="51" spans="1:18" s="18" customFormat="1" x14ac:dyDescent="0.35">
      <c r="A51" s="16" t="s">
        <v>325</v>
      </c>
      <c r="B51" s="16" t="s">
        <v>326</v>
      </c>
      <c r="C51" s="16" t="s">
        <v>315</v>
      </c>
      <c r="D51" s="16" t="s">
        <v>316</v>
      </c>
      <c r="E51" s="16" t="s">
        <v>317</v>
      </c>
      <c r="F51" s="17" t="s">
        <v>318</v>
      </c>
      <c r="G51" s="17">
        <v>52813</v>
      </c>
      <c r="H51" s="17">
        <v>43532</v>
      </c>
      <c r="I51" s="17">
        <v>0</v>
      </c>
      <c r="J51" s="17">
        <v>0</v>
      </c>
      <c r="K51" s="17">
        <f t="shared" si="8"/>
        <v>96345</v>
      </c>
      <c r="L51" s="17">
        <v>0</v>
      </c>
      <c r="M51" s="17">
        <v>0</v>
      </c>
      <c r="N51" s="17">
        <v>0</v>
      </c>
      <c r="O51" s="17">
        <v>0</v>
      </c>
      <c r="P51" s="17">
        <f t="shared" si="9"/>
        <v>0</v>
      </c>
      <c r="Q51" s="17">
        <f t="shared" si="10"/>
        <v>96345</v>
      </c>
      <c r="R51" s="17">
        <f t="shared" si="11"/>
        <v>52813</v>
      </c>
    </row>
    <row r="52" spans="1:18" s="18" customFormat="1" x14ac:dyDescent="0.35">
      <c r="A52" s="16" t="s">
        <v>327</v>
      </c>
      <c r="B52" s="16" t="s">
        <v>328</v>
      </c>
      <c r="C52" s="16" t="s">
        <v>315</v>
      </c>
      <c r="D52" s="16" t="s">
        <v>316</v>
      </c>
      <c r="E52" s="16" t="s">
        <v>317</v>
      </c>
      <c r="F52" s="17" t="s">
        <v>318</v>
      </c>
      <c r="G52" s="17">
        <v>60292</v>
      </c>
      <c r="H52" s="17">
        <v>40795</v>
      </c>
      <c r="I52" s="17">
        <v>0</v>
      </c>
      <c r="J52" s="17">
        <v>0</v>
      </c>
      <c r="K52" s="17">
        <f t="shared" si="8"/>
        <v>101087</v>
      </c>
      <c r="L52" s="17">
        <v>0</v>
      </c>
      <c r="M52" s="17">
        <v>0</v>
      </c>
      <c r="N52" s="17">
        <v>0</v>
      </c>
      <c r="O52" s="17">
        <v>0</v>
      </c>
      <c r="P52" s="17">
        <f t="shared" si="9"/>
        <v>0</v>
      </c>
      <c r="Q52" s="17">
        <f t="shared" si="10"/>
        <v>101087</v>
      </c>
      <c r="R52" s="17">
        <f t="shared" si="11"/>
        <v>60292</v>
      </c>
    </row>
    <row r="56" spans="1:18" x14ac:dyDescent="0.35">
      <c r="A56" s="25" t="s">
        <v>919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</row>
    <row r="57" spans="1:18" x14ac:dyDescent="0.35">
      <c r="A57" s="6" t="s">
        <v>217</v>
      </c>
      <c r="B57" s="6" t="s">
        <v>218</v>
      </c>
      <c r="C57" s="6" t="s">
        <v>219</v>
      </c>
      <c r="D57" s="6" t="s">
        <v>220</v>
      </c>
      <c r="E57" s="6" t="s">
        <v>221</v>
      </c>
      <c r="F57" s="6" t="s">
        <v>222</v>
      </c>
      <c r="G57" s="6" t="s">
        <v>223</v>
      </c>
      <c r="H57" s="6" t="s">
        <v>224</v>
      </c>
      <c r="I57" s="6" t="s">
        <v>225</v>
      </c>
      <c r="J57" s="6" t="s">
        <v>226</v>
      </c>
      <c r="K57" s="6" t="s">
        <v>227</v>
      </c>
      <c r="L57" s="6" t="s">
        <v>228</v>
      </c>
      <c r="M57" s="6" t="s">
        <v>229</v>
      </c>
      <c r="N57" s="6" t="s">
        <v>230</v>
      </c>
      <c r="O57" s="6" t="s">
        <v>231</v>
      </c>
      <c r="P57" s="6" t="s">
        <v>232</v>
      </c>
      <c r="Q57" s="6" t="s">
        <v>233</v>
      </c>
      <c r="R57" s="6" t="s">
        <v>234</v>
      </c>
    </row>
    <row r="58" spans="1:18" s="18" customFormat="1" x14ac:dyDescent="0.35">
      <c r="A58" s="16" t="s">
        <v>329</v>
      </c>
      <c r="B58" s="16" t="s">
        <v>330</v>
      </c>
      <c r="C58" s="16" t="s">
        <v>331</v>
      </c>
      <c r="D58" s="16" t="s">
        <v>242</v>
      </c>
      <c r="E58" s="16" t="s">
        <v>332</v>
      </c>
      <c r="F58" s="17" t="s">
        <v>333</v>
      </c>
      <c r="G58" s="17">
        <v>27233</v>
      </c>
      <c r="H58" s="17">
        <v>27220</v>
      </c>
      <c r="I58" s="17">
        <v>0</v>
      </c>
      <c r="J58" s="17">
        <v>0</v>
      </c>
      <c r="K58" s="17">
        <f t="shared" ref="K58:K73" si="12">G58+H58+I58+J58</f>
        <v>54453</v>
      </c>
      <c r="L58" s="17">
        <v>58405</v>
      </c>
      <c r="M58" s="17">
        <v>5619</v>
      </c>
      <c r="N58" s="17">
        <v>0</v>
      </c>
      <c r="O58" s="17">
        <v>0</v>
      </c>
      <c r="P58" s="17">
        <f t="shared" ref="P58:P73" si="13">L58+M58+N58+O58</f>
        <v>64024</v>
      </c>
      <c r="Q58" s="17">
        <f t="shared" ref="Q58:Q73" si="14">K58-P58</f>
        <v>-9571</v>
      </c>
      <c r="R58" s="17">
        <f t="shared" ref="R58:R73" si="15">G58-L58</f>
        <v>-31172</v>
      </c>
    </row>
    <row r="59" spans="1:18" s="18" customFormat="1" x14ac:dyDescent="0.35">
      <c r="A59" s="16" t="s">
        <v>334</v>
      </c>
      <c r="B59" s="16" t="s">
        <v>335</v>
      </c>
      <c r="C59" s="16" t="s">
        <v>331</v>
      </c>
      <c r="D59" s="16" t="s">
        <v>336</v>
      </c>
      <c r="E59" s="16" t="s">
        <v>332</v>
      </c>
      <c r="F59" s="17" t="s">
        <v>333</v>
      </c>
      <c r="G59" s="17">
        <v>42621</v>
      </c>
      <c r="H59" s="17">
        <v>8489</v>
      </c>
      <c r="I59" s="17">
        <v>0</v>
      </c>
      <c r="J59" s="17">
        <v>0</v>
      </c>
      <c r="K59" s="17">
        <f t="shared" si="12"/>
        <v>51110</v>
      </c>
      <c r="L59" s="17">
        <v>13164</v>
      </c>
      <c r="M59" s="17">
        <v>7464</v>
      </c>
      <c r="N59" s="17">
        <v>0</v>
      </c>
      <c r="O59" s="17">
        <v>0</v>
      </c>
      <c r="P59" s="17">
        <f t="shared" si="13"/>
        <v>20628</v>
      </c>
      <c r="Q59" s="17">
        <f t="shared" si="14"/>
        <v>30482</v>
      </c>
      <c r="R59" s="17">
        <f t="shared" si="15"/>
        <v>29457</v>
      </c>
    </row>
    <row r="60" spans="1:18" s="18" customFormat="1" x14ac:dyDescent="0.35">
      <c r="A60" s="16" t="s">
        <v>337</v>
      </c>
      <c r="B60" s="16" t="s">
        <v>338</v>
      </c>
      <c r="C60" s="16" t="s">
        <v>331</v>
      </c>
      <c r="D60" s="16" t="s">
        <v>339</v>
      </c>
      <c r="E60" s="16" t="s">
        <v>332</v>
      </c>
      <c r="F60" s="17" t="s">
        <v>333</v>
      </c>
      <c r="G60" s="17">
        <v>22380</v>
      </c>
      <c r="H60" s="17">
        <v>18591</v>
      </c>
      <c r="I60" s="17">
        <v>0</v>
      </c>
      <c r="J60" s="17">
        <v>0</v>
      </c>
      <c r="K60" s="17">
        <f t="shared" si="12"/>
        <v>40971</v>
      </c>
      <c r="L60" s="17">
        <v>46030</v>
      </c>
      <c r="M60" s="17">
        <v>4533</v>
      </c>
      <c r="N60" s="17">
        <v>0</v>
      </c>
      <c r="O60" s="17">
        <v>0</v>
      </c>
      <c r="P60" s="17">
        <f t="shared" si="13"/>
        <v>50563</v>
      </c>
      <c r="Q60" s="17">
        <f t="shared" si="14"/>
        <v>-9592</v>
      </c>
      <c r="R60" s="17">
        <f t="shared" si="15"/>
        <v>-23650</v>
      </c>
    </row>
    <row r="61" spans="1:18" s="18" customFormat="1" x14ac:dyDescent="0.35">
      <c r="A61" s="16" t="s">
        <v>340</v>
      </c>
      <c r="B61" s="16" t="s">
        <v>341</v>
      </c>
      <c r="C61" s="16" t="s">
        <v>331</v>
      </c>
      <c r="D61" s="16" t="s">
        <v>246</v>
      </c>
      <c r="E61" s="16" t="s">
        <v>332</v>
      </c>
      <c r="F61" s="17" t="s">
        <v>333</v>
      </c>
      <c r="G61" s="17">
        <v>61598</v>
      </c>
      <c r="H61" s="17">
        <v>16828</v>
      </c>
      <c r="I61" s="17">
        <v>0</v>
      </c>
      <c r="J61" s="17">
        <v>0</v>
      </c>
      <c r="K61" s="17">
        <f t="shared" si="12"/>
        <v>78426</v>
      </c>
      <c r="L61" s="17">
        <v>34189</v>
      </c>
      <c r="M61" s="17">
        <v>6256</v>
      </c>
      <c r="N61" s="17">
        <v>0</v>
      </c>
      <c r="O61" s="17">
        <v>0</v>
      </c>
      <c r="P61" s="17">
        <f t="shared" si="13"/>
        <v>40445</v>
      </c>
      <c r="Q61" s="17">
        <f t="shared" si="14"/>
        <v>37981</v>
      </c>
      <c r="R61" s="17">
        <f t="shared" si="15"/>
        <v>27409</v>
      </c>
    </row>
    <row r="62" spans="1:18" s="18" customFormat="1" x14ac:dyDescent="0.35">
      <c r="A62" s="16" t="s">
        <v>342</v>
      </c>
      <c r="B62" s="16" t="s">
        <v>343</v>
      </c>
      <c r="C62" s="16" t="s">
        <v>331</v>
      </c>
      <c r="D62" s="16" t="s">
        <v>344</v>
      </c>
      <c r="E62" s="16" t="s">
        <v>332</v>
      </c>
      <c r="F62" s="17" t="s">
        <v>333</v>
      </c>
      <c r="G62" s="17">
        <v>26512</v>
      </c>
      <c r="H62" s="17">
        <v>28315</v>
      </c>
      <c r="I62" s="17">
        <v>0</v>
      </c>
      <c r="J62" s="17">
        <v>0</v>
      </c>
      <c r="K62" s="17">
        <f t="shared" si="12"/>
        <v>54827</v>
      </c>
      <c r="L62" s="17">
        <v>56611</v>
      </c>
      <c r="M62" s="17">
        <v>7782</v>
      </c>
      <c r="N62" s="17">
        <v>0</v>
      </c>
      <c r="O62" s="17">
        <v>0</v>
      </c>
      <c r="P62" s="17">
        <f t="shared" si="13"/>
        <v>64393</v>
      </c>
      <c r="Q62" s="17">
        <f t="shared" si="14"/>
        <v>-9566</v>
      </c>
      <c r="R62" s="17">
        <f t="shared" si="15"/>
        <v>-30099</v>
      </c>
    </row>
    <row r="63" spans="1:18" s="18" customFormat="1" x14ac:dyDescent="0.35">
      <c r="A63" s="16" t="s">
        <v>345</v>
      </c>
      <c r="B63" s="16" t="s">
        <v>346</v>
      </c>
      <c r="C63" s="16" t="s">
        <v>331</v>
      </c>
      <c r="D63" s="16" t="s">
        <v>347</v>
      </c>
      <c r="E63" s="16" t="s">
        <v>332</v>
      </c>
      <c r="F63" s="17" t="s">
        <v>333</v>
      </c>
      <c r="G63" s="17">
        <v>45603</v>
      </c>
      <c r="H63" s="17">
        <v>0</v>
      </c>
      <c r="I63" s="17">
        <v>0</v>
      </c>
      <c r="J63" s="17">
        <v>0</v>
      </c>
      <c r="K63" s="17">
        <f t="shared" si="12"/>
        <v>45603</v>
      </c>
      <c r="L63" s="17">
        <v>30418</v>
      </c>
      <c r="M63" s="17">
        <v>4967</v>
      </c>
      <c r="N63" s="17">
        <v>0</v>
      </c>
      <c r="O63" s="17">
        <v>0</v>
      </c>
      <c r="P63" s="17">
        <f t="shared" si="13"/>
        <v>35385</v>
      </c>
      <c r="Q63" s="17">
        <f t="shared" si="14"/>
        <v>10218</v>
      </c>
      <c r="R63" s="17">
        <f t="shared" si="15"/>
        <v>15185</v>
      </c>
    </row>
    <row r="64" spans="1:18" s="18" customFormat="1" x14ac:dyDescent="0.35">
      <c r="A64" s="16" t="s">
        <v>348</v>
      </c>
      <c r="B64" s="16" t="s">
        <v>349</v>
      </c>
      <c r="C64" s="16" t="s">
        <v>331</v>
      </c>
      <c r="D64" s="16" t="s">
        <v>350</v>
      </c>
      <c r="E64" s="16" t="s">
        <v>332</v>
      </c>
      <c r="F64" s="17" t="s">
        <v>333</v>
      </c>
      <c r="G64" s="17">
        <v>67852</v>
      </c>
      <c r="H64" s="17">
        <v>0</v>
      </c>
      <c r="I64" s="17">
        <v>0</v>
      </c>
      <c r="J64" s="17">
        <v>0</v>
      </c>
      <c r="K64" s="17">
        <f t="shared" si="12"/>
        <v>67852</v>
      </c>
      <c r="L64" s="17">
        <v>55510</v>
      </c>
      <c r="M64" s="17">
        <v>6408</v>
      </c>
      <c r="N64" s="17">
        <v>0</v>
      </c>
      <c r="O64" s="17">
        <v>0</v>
      </c>
      <c r="P64" s="17">
        <f t="shared" si="13"/>
        <v>61918</v>
      </c>
      <c r="Q64" s="17">
        <f t="shared" si="14"/>
        <v>5934</v>
      </c>
      <c r="R64" s="17">
        <f t="shared" si="15"/>
        <v>12342</v>
      </c>
    </row>
    <row r="65" spans="1:18" s="18" customFormat="1" x14ac:dyDescent="0.35">
      <c r="A65" s="16" t="s">
        <v>351</v>
      </c>
      <c r="B65" s="16" t="s">
        <v>352</v>
      </c>
      <c r="C65" s="16" t="s">
        <v>331</v>
      </c>
      <c r="D65" s="16" t="s">
        <v>353</v>
      </c>
      <c r="E65" s="16" t="s">
        <v>332</v>
      </c>
      <c r="F65" s="17" t="s">
        <v>333</v>
      </c>
      <c r="G65" s="17">
        <v>36385</v>
      </c>
      <c r="H65" s="17">
        <v>0</v>
      </c>
      <c r="I65" s="17">
        <v>0</v>
      </c>
      <c r="J65" s="17">
        <v>0</v>
      </c>
      <c r="K65" s="17">
        <f t="shared" si="12"/>
        <v>36385</v>
      </c>
      <c r="L65" s="17">
        <v>18287</v>
      </c>
      <c r="M65" s="17">
        <v>6369</v>
      </c>
      <c r="N65" s="17">
        <v>0</v>
      </c>
      <c r="O65" s="17">
        <v>0</v>
      </c>
      <c r="P65" s="17">
        <f t="shared" si="13"/>
        <v>24656</v>
      </c>
      <c r="Q65" s="17">
        <f t="shared" si="14"/>
        <v>11729</v>
      </c>
      <c r="R65" s="17">
        <f t="shared" si="15"/>
        <v>18098</v>
      </c>
    </row>
    <row r="66" spans="1:18" s="18" customFormat="1" x14ac:dyDescent="0.35">
      <c r="A66" s="16" t="s">
        <v>354</v>
      </c>
      <c r="B66" s="16" t="s">
        <v>355</v>
      </c>
      <c r="C66" s="16" t="s">
        <v>331</v>
      </c>
      <c r="D66" s="16" t="s">
        <v>356</v>
      </c>
      <c r="E66" s="16" t="s">
        <v>332</v>
      </c>
      <c r="F66" s="17" t="s">
        <v>333</v>
      </c>
      <c r="G66" s="17">
        <v>70321</v>
      </c>
      <c r="H66" s="17">
        <v>0</v>
      </c>
      <c r="I66" s="17">
        <v>0</v>
      </c>
      <c r="J66" s="17">
        <v>0</v>
      </c>
      <c r="K66" s="17">
        <f t="shared" si="12"/>
        <v>70321</v>
      </c>
      <c r="L66" s="17">
        <v>59209</v>
      </c>
      <c r="M66" s="17">
        <v>7248</v>
      </c>
      <c r="N66" s="17">
        <v>0</v>
      </c>
      <c r="O66" s="17">
        <v>0</v>
      </c>
      <c r="P66" s="17">
        <f t="shared" si="13"/>
        <v>66457</v>
      </c>
      <c r="Q66" s="17">
        <f t="shared" si="14"/>
        <v>3864</v>
      </c>
      <c r="R66" s="17">
        <f t="shared" si="15"/>
        <v>11112</v>
      </c>
    </row>
    <row r="67" spans="1:18" s="18" customFormat="1" x14ac:dyDescent="0.35">
      <c r="A67" s="16" t="s">
        <v>357</v>
      </c>
      <c r="B67" s="16" t="s">
        <v>358</v>
      </c>
      <c r="C67" s="16" t="s">
        <v>331</v>
      </c>
      <c r="D67" s="16" t="s">
        <v>359</v>
      </c>
      <c r="E67" s="16" t="s">
        <v>332</v>
      </c>
      <c r="F67" s="17" t="s">
        <v>333</v>
      </c>
      <c r="G67" s="17">
        <v>56259</v>
      </c>
      <c r="H67" s="17">
        <v>0</v>
      </c>
      <c r="I67" s="17">
        <v>0</v>
      </c>
      <c r="J67" s="17">
        <v>0</v>
      </c>
      <c r="K67" s="17">
        <f t="shared" si="12"/>
        <v>56259</v>
      </c>
      <c r="L67" s="17">
        <v>30718</v>
      </c>
      <c r="M67" s="17">
        <v>1697</v>
      </c>
      <c r="N67" s="17">
        <v>0</v>
      </c>
      <c r="O67" s="17">
        <v>0</v>
      </c>
      <c r="P67" s="17">
        <f t="shared" si="13"/>
        <v>32415</v>
      </c>
      <c r="Q67" s="17">
        <f t="shared" si="14"/>
        <v>23844</v>
      </c>
      <c r="R67" s="17">
        <f t="shared" si="15"/>
        <v>25541</v>
      </c>
    </row>
    <row r="68" spans="1:18" s="18" customFormat="1" x14ac:dyDescent="0.35">
      <c r="A68" s="16" t="s">
        <v>360</v>
      </c>
      <c r="B68" s="16" t="s">
        <v>361</v>
      </c>
      <c r="C68" s="16" t="s">
        <v>331</v>
      </c>
      <c r="D68" s="16" t="s">
        <v>362</v>
      </c>
      <c r="E68" s="16" t="s">
        <v>332</v>
      </c>
      <c r="F68" s="17" t="s">
        <v>333</v>
      </c>
      <c r="G68" s="17">
        <v>45352</v>
      </c>
      <c r="H68" s="17">
        <v>0</v>
      </c>
      <c r="I68" s="17">
        <v>0</v>
      </c>
      <c r="J68" s="17">
        <v>0</v>
      </c>
      <c r="K68" s="17">
        <f t="shared" si="12"/>
        <v>45352</v>
      </c>
      <c r="L68" s="17">
        <v>19463</v>
      </c>
      <c r="M68" s="17">
        <v>2592</v>
      </c>
      <c r="N68" s="17">
        <v>0</v>
      </c>
      <c r="O68" s="17">
        <v>0</v>
      </c>
      <c r="P68" s="17">
        <f t="shared" si="13"/>
        <v>22055</v>
      </c>
      <c r="Q68" s="17">
        <f t="shared" si="14"/>
        <v>23297</v>
      </c>
      <c r="R68" s="17">
        <f t="shared" si="15"/>
        <v>25889</v>
      </c>
    </row>
    <row r="69" spans="1:18" s="18" customFormat="1" x14ac:dyDescent="0.35">
      <c r="A69" s="16" t="s">
        <v>363</v>
      </c>
      <c r="B69" s="16" t="s">
        <v>364</v>
      </c>
      <c r="C69" s="16" t="s">
        <v>331</v>
      </c>
      <c r="D69" s="16" t="s">
        <v>365</v>
      </c>
      <c r="E69" s="16" t="s">
        <v>332</v>
      </c>
      <c r="F69" s="17" t="s">
        <v>333</v>
      </c>
      <c r="G69" s="17">
        <v>50159</v>
      </c>
      <c r="H69" s="17">
        <v>0</v>
      </c>
      <c r="I69" s="17">
        <v>0</v>
      </c>
      <c r="J69" s="17">
        <v>0</v>
      </c>
      <c r="K69" s="17">
        <f t="shared" si="12"/>
        <v>50159</v>
      </c>
      <c r="L69" s="17">
        <v>27442</v>
      </c>
      <c r="M69" s="17">
        <v>8187</v>
      </c>
      <c r="N69" s="17">
        <v>0</v>
      </c>
      <c r="O69" s="17">
        <v>0</v>
      </c>
      <c r="P69" s="17">
        <f t="shared" si="13"/>
        <v>35629</v>
      </c>
      <c r="Q69" s="17">
        <f t="shared" si="14"/>
        <v>14530</v>
      </c>
      <c r="R69" s="17">
        <f t="shared" si="15"/>
        <v>22717</v>
      </c>
    </row>
    <row r="70" spans="1:18" s="18" customFormat="1" x14ac:dyDescent="0.35">
      <c r="A70" s="16" t="s">
        <v>366</v>
      </c>
      <c r="B70" s="16" t="s">
        <v>367</v>
      </c>
      <c r="C70" s="16" t="s">
        <v>331</v>
      </c>
      <c r="D70" s="16" t="s">
        <v>368</v>
      </c>
      <c r="E70" s="16" t="s">
        <v>332</v>
      </c>
      <c r="F70" s="17" t="s">
        <v>333</v>
      </c>
      <c r="G70" s="17">
        <v>47609</v>
      </c>
      <c r="H70" s="17">
        <v>0</v>
      </c>
      <c r="I70" s="17">
        <v>0</v>
      </c>
      <c r="J70" s="17">
        <v>0</v>
      </c>
      <c r="K70" s="17">
        <f t="shared" si="12"/>
        <v>47609</v>
      </c>
      <c r="L70" s="17">
        <v>41384</v>
      </c>
      <c r="M70" s="17">
        <v>6496</v>
      </c>
      <c r="N70" s="17">
        <v>0</v>
      </c>
      <c r="O70" s="17">
        <v>0</v>
      </c>
      <c r="P70" s="17">
        <f t="shared" si="13"/>
        <v>47880</v>
      </c>
      <c r="Q70" s="17">
        <f t="shared" si="14"/>
        <v>-271</v>
      </c>
      <c r="R70" s="17">
        <f t="shared" si="15"/>
        <v>6225</v>
      </c>
    </row>
    <row r="71" spans="1:18" s="18" customFormat="1" x14ac:dyDescent="0.35">
      <c r="A71" s="16" t="s">
        <v>369</v>
      </c>
      <c r="B71" s="16" t="s">
        <v>370</v>
      </c>
      <c r="C71" s="16" t="s">
        <v>331</v>
      </c>
      <c r="D71" s="16" t="s">
        <v>371</v>
      </c>
      <c r="E71" s="16" t="s">
        <v>332</v>
      </c>
      <c r="F71" s="17" t="s">
        <v>333</v>
      </c>
      <c r="G71" s="17">
        <v>34175</v>
      </c>
      <c r="H71" s="17">
        <v>0</v>
      </c>
      <c r="I71" s="17">
        <v>0</v>
      </c>
      <c r="J71" s="17">
        <v>0</v>
      </c>
      <c r="K71" s="17">
        <f t="shared" si="12"/>
        <v>34175</v>
      </c>
      <c r="L71" s="17">
        <v>12168</v>
      </c>
      <c r="M71" s="17">
        <v>3212</v>
      </c>
      <c r="N71" s="17">
        <v>0</v>
      </c>
      <c r="O71" s="17">
        <v>0</v>
      </c>
      <c r="P71" s="17">
        <f t="shared" si="13"/>
        <v>15380</v>
      </c>
      <c r="Q71" s="17">
        <f t="shared" si="14"/>
        <v>18795</v>
      </c>
      <c r="R71" s="17">
        <f t="shared" si="15"/>
        <v>22007</v>
      </c>
    </row>
    <row r="72" spans="1:18" s="18" customFormat="1" x14ac:dyDescent="0.35">
      <c r="A72" s="16" t="s">
        <v>372</v>
      </c>
      <c r="B72" s="16" t="s">
        <v>373</v>
      </c>
      <c r="C72" s="16" t="s">
        <v>331</v>
      </c>
      <c r="D72" s="16" t="s">
        <v>374</v>
      </c>
      <c r="E72" s="16" t="s">
        <v>332</v>
      </c>
      <c r="F72" s="17" t="s">
        <v>333</v>
      </c>
      <c r="G72" s="17">
        <v>72037</v>
      </c>
      <c r="H72" s="17">
        <v>0</v>
      </c>
      <c r="I72" s="17">
        <v>0</v>
      </c>
      <c r="J72" s="17">
        <v>0</v>
      </c>
      <c r="K72" s="17">
        <f t="shared" si="12"/>
        <v>72037</v>
      </c>
      <c r="L72" s="17">
        <v>29454</v>
      </c>
      <c r="M72" s="17">
        <v>6466</v>
      </c>
      <c r="N72" s="17">
        <v>0</v>
      </c>
      <c r="O72" s="17">
        <v>0</v>
      </c>
      <c r="P72" s="17">
        <f t="shared" si="13"/>
        <v>35920</v>
      </c>
      <c r="Q72" s="17">
        <f t="shared" si="14"/>
        <v>36117</v>
      </c>
      <c r="R72" s="17">
        <f t="shared" si="15"/>
        <v>42583</v>
      </c>
    </row>
    <row r="73" spans="1:18" s="18" customFormat="1" x14ac:dyDescent="0.35">
      <c r="A73" s="16" t="s">
        <v>375</v>
      </c>
      <c r="B73" s="16" t="s">
        <v>376</v>
      </c>
      <c r="C73" s="16" t="s">
        <v>331</v>
      </c>
      <c r="D73" s="16" t="s">
        <v>377</v>
      </c>
      <c r="E73" s="16" t="s">
        <v>332</v>
      </c>
      <c r="F73" s="17" t="s">
        <v>333</v>
      </c>
      <c r="G73" s="17">
        <v>36773</v>
      </c>
      <c r="H73" s="17">
        <v>0</v>
      </c>
      <c r="I73" s="17">
        <v>0</v>
      </c>
      <c r="J73" s="17">
        <v>0</v>
      </c>
      <c r="K73" s="17">
        <f t="shared" si="12"/>
        <v>36773</v>
      </c>
      <c r="L73" s="17">
        <v>11037</v>
      </c>
      <c r="M73" s="17">
        <v>2592</v>
      </c>
      <c r="N73" s="17">
        <v>0</v>
      </c>
      <c r="O73" s="17">
        <v>0</v>
      </c>
      <c r="P73" s="17">
        <f t="shared" si="13"/>
        <v>13629</v>
      </c>
      <c r="Q73" s="17">
        <f t="shared" si="14"/>
        <v>23144</v>
      </c>
      <c r="R73" s="17">
        <f t="shared" si="15"/>
        <v>25736</v>
      </c>
    </row>
    <row r="75" spans="1:18" x14ac:dyDescent="0.35">
      <c r="A75" s="25" t="s">
        <v>920</v>
      </c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</row>
    <row r="76" spans="1:18" x14ac:dyDescent="0.35">
      <c r="A76" s="6" t="s">
        <v>217</v>
      </c>
      <c r="B76" s="6" t="s">
        <v>218</v>
      </c>
      <c r="C76" s="6" t="s">
        <v>219</v>
      </c>
      <c r="D76" s="6" t="s">
        <v>220</v>
      </c>
      <c r="E76" s="6" t="s">
        <v>221</v>
      </c>
      <c r="F76" s="6" t="s">
        <v>222</v>
      </c>
      <c r="G76" s="6" t="s">
        <v>223</v>
      </c>
      <c r="H76" s="6" t="s">
        <v>224</v>
      </c>
      <c r="I76" s="6" t="s">
        <v>225</v>
      </c>
      <c r="J76" s="6" t="s">
        <v>226</v>
      </c>
      <c r="K76" s="6" t="s">
        <v>227</v>
      </c>
      <c r="L76" s="6" t="s">
        <v>228</v>
      </c>
      <c r="M76" s="6" t="s">
        <v>229</v>
      </c>
      <c r="N76" s="6" t="s">
        <v>230</v>
      </c>
      <c r="O76" s="6" t="s">
        <v>231</v>
      </c>
      <c r="P76" s="6" t="s">
        <v>232</v>
      </c>
      <c r="Q76" s="6" t="s">
        <v>233</v>
      </c>
      <c r="R76" s="6" t="s">
        <v>234</v>
      </c>
    </row>
    <row r="77" spans="1:18" s="18" customFormat="1" x14ac:dyDescent="0.35">
      <c r="A77" s="16" t="s">
        <v>378</v>
      </c>
      <c r="B77" s="16" t="s">
        <v>379</v>
      </c>
      <c r="C77" s="16" t="s">
        <v>380</v>
      </c>
      <c r="D77" s="16" t="s">
        <v>251</v>
      </c>
      <c r="E77" s="16" t="s">
        <v>381</v>
      </c>
      <c r="F77" s="17">
        <v>5</v>
      </c>
      <c r="G77" s="17">
        <v>9848</v>
      </c>
      <c r="H77" s="17">
        <v>0</v>
      </c>
      <c r="I77" s="17">
        <v>0</v>
      </c>
      <c r="J77" s="17">
        <v>0</v>
      </c>
      <c r="K77" s="17">
        <f>G77+H77+I77+J77</f>
        <v>9848</v>
      </c>
      <c r="L77" s="17">
        <v>10329</v>
      </c>
      <c r="M77" s="17">
        <v>1900</v>
      </c>
      <c r="N77" s="17">
        <v>0</v>
      </c>
      <c r="O77" s="17">
        <v>0</v>
      </c>
      <c r="P77" s="17">
        <f>L77+M77+N77+O77</f>
        <v>12229</v>
      </c>
      <c r="Q77" s="17">
        <f>K77-P77</f>
        <v>-2381</v>
      </c>
      <c r="R77" s="17">
        <f>G77-L77</f>
        <v>-481</v>
      </c>
    </row>
    <row r="78" spans="1:18" s="18" customFormat="1" x14ac:dyDescent="0.35">
      <c r="A78" s="16" t="s">
        <v>382</v>
      </c>
      <c r="B78" s="16" t="s">
        <v>383</v>
      </c>
      <c r="C78" s="16" t="s">
        <v>380</v>
      </c>
      <c r="D78" s="16" t="s">
        <v>251</v>
      </c>
      <c r="E78" s="16" t="s">
        <v>381</v>
      </c>
      <c r="F78" s="17">
        <v>5</v>
      </c>
      <c r="G78" s="17">
        <v>10712</v>
      </c>
      <c r="H78" s="17">
        <v>0</v>
      </c>
      <c r="I78" s="17">
        <v>0</v>
      </c>
      <c r="J78" s="17">
        <v>0</v>
      </c>
      <c r="K78" s="17">
        <f>G78+H78+I78+J78</f>
        <v>10712</v>
      </c>
      <c r="L78" s="17">
        <v>3502</v>
      </c>
      <c r="M78" s="17">
        <v>1464</v>
      </c>
      <c r="N78" s="17">
        <v>0</v>
      </c>
      <c r="O78" s="17">
        <v>0</v>
      </c>
      <c r="P78" s="17">
        <f>L78+M78+N78+O78</f>
        <v>4966</v>
      </c>
      <c r="Q78" s="17">
        <f>K78-P78</f>
        <v>5746</v>
      </c>
      <c r="R78" s="17">
        <f>G78-L78</f>
        <v>7210</v>
      </c>
    </row>
    <row r="80" spans="1:18" x14ac:dyDescent="0.35">
      <c r="A80" s="25" t="s">
        <v>921</v>
      </c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</row>
    <row r="81" spans="1:18" x14ac:dyDescent="0.35">
      <c r="A81" s="6" t="s">
        <v>217</v>
      </c>
      <c r="B81" s="6" t="s">
        <v>218</v>
      </c>
      <c r="C81" s="6" t="s">
        <v>219</v>
      </c>
      <c r="D81" s="6" t="s">
        <v>220</v>
      </c>
      <c r="E81" s="6" t="s">
        <v>221</v>
      </c>
      <c r="F81" s="6" t="s">
        <v>222</v>
      </c>
      <c r="G81" s="6" t="s">
        <v>223</v>
      </c>
      <c r="H81" s="6" t="s">
        <v>224</v>
      </c>
      <c r="I81" s="6" t="s">
        <v>225</v>
      </c>
      <c r="J81" s="6" t="s">
        <v>226</v>
      </c>
      <c r="K81" s="6" t="s">
        <v>227</v>
      </c>
      <c r="L81" s="6" t="s">
        <v>228</v>
      </c>
      <c r="M81" s="6" t="s">
        <v>229</v>
      </c>
      <c r="N81" s="6" t="s">
        <v>230</v>
      </c>
      <c r="O81" s="6" t="s">
        <v>231</v>
      </c>
      <c r="P81" s="6" t="s">
        <v>232</v>
      </c>
      <c r="Q81" s="6" t="s">
        <v>233</v>
      </c>
      <c r="R81" s="6" t="s">
        <v>234</v>
      </c>
    </row>
    <row r="82" spans="1:18" s="18" customFormat="1" x14ac:dyDescent="0.35">
      <c r="A82" s="16" t="s">
        <v>384</v>
      </c>
      <c r="B82" s="16" t="s">
        <v>385</v>
      </c>
      <c r="C82" s="16" t="s">
        <v>386</v>
      </c>
      <c r="D82" s="16" t="s">
        <v>251</v>
      </c>
      <c r="E82" s="16" t="s">
        <v>387</v>
      </c>
      <c r="F82" s="17">
        <v>4</v>
      </c>
      <c r="G82" s="17">
        <v>1203</v>
      </c>
      <c r="H82" s="17">
        <v>0</v>
      </c>
      <c r="I82" s="17">
        <v>0</v>
      </c>
      <c r="J82" s="17">
        <v>0</v>
      </c>
      <c r="K82" s="17">
        <f>G82+H82+I82+J82</f>
        <v>1203</v>
      </c>
      <c r="L82" s="17">
        <v>584</v>
      </c>
      <c r="M82" s="17">
        <v>247</v>
      </c>
      <c r="N82" s="17">
        <v>0</v>
      </c>
      <c r="O82" s="17">
        <v>0</v>
      </c>
      <c r="P82" s="17">
        <f>L82+M82+N82+O82</f>
        <v>831</v>
      </c>
      <c r="Q82" s="17">
        <f>K82-P82</f>
        <v>372</v>
      </c>
      <c r="R82" s="17">
        <f>G82-L82</f>
        <v>619</v>
      </c>
    </row>
    <row r="83" spans="1:18" s="18" customFormat="1" x14ac:dyDescent="0.35">
      <c r="A83" s="16" t="s">
        <v>388</v>
      </c>
      <c r="B83" s="16" t="s">
        <v>389</v>
      </c>
      <c r="C83" s="16" t="s">
        <v>386</v>
      </c>
      <c r="D83" s="16" t="s">
        <v>311</v>
      </c>
      <c r="E83" s="16" t="s">
        <v>390</v>
      </c>
      <c r="F83" s="17">
        <v>4</v>
      </c>
      <c r="G83" s="17">
        <v>1865</v>
      </c>
      <c r="H83" s="17">
        <v>980</v>
      </c>
      <c r="I83" s="17">
        <v>0</v>
      </c>
      <c r="J83" s="17">
        <v>0</v>
      </c>
      <c r="K83" s="17">
        <f>G83+H83+I83+J83</f>
        <v>2845</v>
      </c>
      <c r="L83" s="17">
        <v>1640</v>
      </c>
      <c r="M83" s="17">
        <v>358</v>
      </c>
      <c r="N83" s="17">
        <v>0</v>
      </c>
      <c r="O83" s="17">
        <v>0</v>
      </c>
      <c r="P83" s="17">
        <f>L83+M83+N83+O83</f>
        <v>1998</v>
      </c>
      <c r="Q83" s="17">
        <f>K83-P83</f>
        <v>847</v>
      </c>
      <c r="R83" s="17">
        <f>G83-L83</f>
        <v>225</v>
      </c>
    </row>
    <row r="86" spans="1:18" x14ac:dyDescent="0.35">
      <c r="A86" s="25" t="s">
        <v>922</v>
      </c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</row>
    <row r="87" spans="1:18" x14ac:dyDescent="0.35">
      <c r="A87" s="6" t="s">
        <v>217</v>
      </c>
      <c r="B87" s="6" t="s">
        <v>218</v>
      </c>
      <c r="C87" s="6" t="s">
        <v>219</v>
      </c>
      <c r="D87" s="6" t="s">
        <v>220</v>
      </c>
      <c r="E87" s="6" t="s">
        <v>221</v>
      </c>
      <c r="F87" s="6" t="s">
        <v>222</v>
      </c>
      <c r="G87" s="6" t="s">
        <v>223</v>
      </c>
      <c r="H87" s="6" t="s">
        <v>224</v>
      </c>
      <c r="I87" s="6" t="s">
        <v>225</v>
      </c>
      <c r="J87" s="6" t="s">
        <v>226</v>
      </c>
      <c r="K87" s="6" t="s">
        <v>227</v>
      </c>
      <c r="L87" s="6" t="s">
        <v>228</v>
      </c>
      <c r="M87" s="6" t="s">
        <v>229</v>
      </c>
      <c r="N87" s="6" t="s">
        <v>230</v>
      </c>
      <c r="O87" s="6" t="s">
        <v>231</v>
      </c>
      <c r="P87" s="6" t="s">
        <v>232</v>
      </c>
      <c r="Q87" s="6" t="s">
        <v>233</v>
      </c>
      <c r="R87" s="6" t="s">
        <v>234</v>
      </c>
    </row>
    <row r="88" spans="1:18" s="18" customFormat="1" x14ac:dyDescent="0.35">
      <c r="A88" s="16" t="s">
        <v>391</v>
      </c>
      <c r="B88" s="16" t="s">
        <v>392</v>
      </c>
      <c r="C88" s="16" t="s">
        <v>393</v>
      </c>
      <c r="D88" s="16" t="s">
        <v>394</v>
      </c>
      <c r="E88" s="16" t="s">
        <v>251</v>
      </c>
      <c r="F88" s="17">
        <v>7</v>
      </c>
      <c r="G88" s="17">
        <v>56303</v>
      </c>
      <c r="H88" s="17">
        <v>149</v>
      </c>
      <c r="I88" s="17">
        <v>0</v>
      </c>
      <c r="J88" s="17">
        <v>24608</v>
      </c>
      <c r="K88" s="17">
        <f t="shared" ref="K88:K96" si="16">G88+H88+I88+J88</f>
        <v>81060</v>
      </c>
      <c r="L88" s="17">
        <v>19925</v>
      </c>
      <c r="M88" s="17">
        <v>2838</v>
      </c>
      <c r="N88" s="17">
        <v>0</v>
      </c>
      <c r="O88" s="17">
        <v>99</v>
      </c>
      <c r="P88" s="17">
        <f t="shared" ref="P88:P96" si="17">L88+M88+N88+O88</f>
        <v>22862</v>
      </c>
      <c r="Q88" s="17">
        <f t="shared" ref="Q88:Q96" si="18">K88-P88</f>
        <v>58198</v>
      </c>
      <c r="R88" s="17">
        <f t="shared" ref="R88:R96" si="19">G88-L88</f>
        <v>36378</v>
      </c>
    </row>
    <row r="89" spans="1:18" s="18" customFormat="1" x14ac:dyDescent="0.35">
      <c r="A89" s="16" t="s">
        <v>395</v>
      </c>
      <c r="B89" s="16" t="s">
        <v>396</v>
      </c>
      <c r="C89" s="16" t="s">
        <v>393</v>
      </c>
      <c r="D89" s="16" t="s">
        <v>394</v>
      </c>
      <c r="E89" s="16" t="s">
        <v>251</v>
      </c>
      <c r="F89" s="17">
        <v>7</v>
      </c>
      <c r="G89" s="17">
        <v>52187</v>
      </c>
      <c r="H89" s="17">
        <v>178</v>
      </c>
      <c r="I89" s="17">
        <v>0</v>
      </c>
      <c r="J89" s="17">
        <v>0</v>
      </c>
      <c r="K89" s="17">
        <f t="shared" si="16"/>
        <v>52365</v>
      </c>
      <c r="L89" s="17">
        <v>39083</v>
      </c>
      <c r="M89" s="17">
        <v>4280</v>
      </c>
      <c r="N89" s="17">
        <v>0</v>
      </c>
      <c r="O89" s="17">
        <v>0</v>
      </c>
      <c r="P89" s="17">
        <f t="shared" si="17"/>
        <v>43363</v>
      </c>
      <c r="Q89" s="17">
        <f t="shared" si="18"/>
        <v>9002</v>
      </c>
      <c r="R89" s="17">
        <f t="shared" si="19"/>
        <v>13104</v>
      </c>
    </row>
    <row r="90" spans="1:18" s="18" customFormat="1" x14ac:dyDescent="0.35">
      <c r="A90" s="16" t="s">
        <v>397</v>
      </c>
      <c r="B90" s="16" t="s">
        <v>398</v>
      </c>
      <c r="C90" s="16" t="s">
        <v>393</v>
      </c>
      <c r="D90" s="16" t="s">
        <v>394</v>
      </c>
      <c r="E90" s="16" t="s">
        <v>251</v>
      </c>
      <c r="F90" s="17">
        <v>7</v>
      </c>
      <c r="G90" s="17">
        <v>60371</v>
      </c>
      <c r="H90" s="17">
        <v>0</v>
      </c>
      <c r="I90" s="17">
        <v>0</v>
      </c>
      <c r="J90" s="17">
        <v>0</v>
      </c>
      <c r="K90" s="17">
        <f t="shared" si="16"/>
        <v>60371</v>
      </c>
      <c r="L90" s="17">
        <v>39927</v>
      </c>
      <c r="M90" s="17">
        <v>1210</v>
      </c>
      <c r="N90" s="17">
        <v>0</v>
      </c>
      <c r="O90" s="17">
        <v>0</v>
      </c>
      <c r="P90" s="17">
        <f t="shared" si="17"/>
        <v>41137</v>
      </c>
      <c r="Q90" s="17">
        <f t="shared" si="18"/>
        <v>19234</v>
      </c>
      <c r="R90" s="17">
        <f t="shared" si="19"/>
        <v>20444</v>
      </c>
    </row>
    <row r="91" spans="1:18" s="18" customFormat="1" x14ac:dyDescent="0.35">
      <c r="A91" s="16" t="s">
        <v>399</v>
      </c>
      <c r="B91" s="16" t="s">
        <v>400</v>
      </c>
      <c r="C91" s="16" t="s">
        <v>393</v>
      </c>
      <c r="D91" s="16" t="s">
        <v>394</v>
      </c>
      <c r="E91" s="16" t="s">
        <v>251</v>
      </c>
      <c r="F91" s="17">
        <v>7</v>
      </c>
      <c r="G91" s="17">
        <v>46788</v>
      </c>
      <c r="H91" s="17">
        <v>0</v>
      </c>
      <c r="I91" s="17">
        <v>0</v>
      </c>
      <c r="J91" s="17">
        <v>0</v>
      </c>
      <c r="K91" s="17">
        <f t="shared" si="16"/>
        <v>46788</v>
      </c>
      <c r="L91" s="17">
        <v>65665</v>
      </c>
      <c r="M91" s="17">
        <v>2368</v>
      </c>
      <c r="N91" s="17">
        <v>0</v>
      </c>
      <c r="O91" s="17">
        <v>0</v>
      </c>
      <c r="P91" s="17">
        <f t="shared" si="17"/>
        <v>68033</v>
      </c>
      <c r="Q91" s="17">
        <f t="shared" si="18"/>
        <v>-21245</v>
      </c>
      <c r="R91" s="17">
        <f t="shared" si="19"/>
        <v>-18877</v>
      </c>
    </row>
    <row r="92" spans="1:18" s="18" customFormat="1" x14ac:dyDescent="0.35">
      <c r="A92" s="16" t="s">
        <v>401</v>
      </c>
      <c r="B92" s="16" t="s">
        <v>402</v>
      </c>
      <c r="C92" s="16" t="s">
        <v>393</v>
      </c>
      <c r="D92" s="16" t="s">
        <v>394</v>
      </c>
      <c r="E92" s="16" t="s">
        <v>251</v>
      </c>
      <c r="F92" s="17">
        <v>7</v>
      </c>
      <c r="G92" s="17">
        <v>81990</v>
      </c>
      <c r="H92" s="17">
        <v>0</v>
      </c>
      <c r="I92" s="17">
        <v>0</v>
      </c>
      <c r="J92" s="17">
        <v>0</v>
      </c>
      <c r="K92" s="17">
        <f t="shared" si="16"/>
        <v>81990</v>
      </c>
      <c r="L92" s="17">
        <v>56960</v>
      </c>
      <c r="M92" s="17">
        <v>1052</v>
      </c>
      <c r="N92" s="17">
        <v>0</v>
      </c>
      <c r="O92" s="17">
        <v>0</v>
      </c>
      <c r="P92" s="17">
        <f t="shared" si="17"/>
        <v>58012</v>
      </c>
      <c r="Q92" s="17">
        <f t="shared" si="18"/>
        <v>23978</v>
      </c>
      <c r="R92" s="17">
        <f t="shared" si="19"/>
        <v>25030</v>
      </c>
    </row>
    <row r="93" spans="1:18" s="18" customFormat="1" x14ac:dyDescent="0.35">
      <c r="A93" s="16" t="s">
        <v>403</v>
      </c>
      <c r="B93" s="16" t="s">
        <v>404</v>
      </c>
      <c r="C93" s="16" t="s">
        <v>393</v>
      </c>
      <c r="D93" s="16" t="s">
        <v>394</v>
      </c>
      <c r="E93" s="16" t="s">
        <v>251</v>
      </c>
      <c r="F93" s="17">
        <v>7</v>
      </c>
      <c r="G93" s="17">
        <v>29213</v>
      </c>
      <c r="H93" s="17">
        <v>0</v>
      </c>
      <c r="I93" s="17">
        <v>0</v>
      </c>
      <c r="J93" s="17">
        <v>0</v>
      </c>
      <c r="K93" s="17">
        <f t="shared" si="16"/>
        <v>29213</v>
      </c>
      <c r="L93" s="17">
        <v>55748</v>
      </c>
      <c r="M93" s="17">
        <v>3452</v>
      </c>
      <c r="N93" s="17">
        <v>0</v>
      </c>
      <c r="O93" s="17">
        <v>0</v>
      </c>
      <c r="P93" s="17">
        <f t="shared" si="17"/>
        <v>59200</v>
      </c>
      <c r="Q93" s="17">
        <f t="shared" si="18"/>
        <v>-29987</v>
      </c>
      <c r="R93" s="17">
        <f t="shared" si="19"/>
        <v>-26535</v>
      </c>
    </row>
    <row r="94" spans="1:18" s="18" customFormat="1" x14ac:dyDescent="0.35">
      <c r="A94" s="16" t="s">
        <v>405</v>
      </c>
      <c r="B94" s="16" t="s">
        <v>406</v>
      </c>
      <c r="C94" s="16" t="s">
        <v>393</v>
      </c>
      <c r="D94" s="16" t="s">
        <v>394</v>
      </c>
      <c r="E94" s="16" t="s">
        <v>251</v>
      </c>
      <c r="F94" s="17">
        <v>7</v>
      </c>
      <c r="G94" s="17">
        <v>51956</v>
      </c>
      <c r="H94" s="17">
        <v>0</v>
      </c>
      <c r="I94" s="17">
        <v>0</v>
      </c>
      <c r="J94" s="17">
        <v>0</v>
      </c>
      <c r="K94" s="17">
        <f t="shared" si="16"/>
        <v>51956</v>
      </c>
      <c r="L94" s="17">
        <v>49637</v>
      </c>
      <c r="M94" s="17">
        <v>1612</v>
      </c>
      <c r="N94" s="17">
        <v>0</v>
      </c>
      <c r="O94" s="17">
        <v>0</v>
      </c>
      <c r="P94" s="17">
        <f t="shared" si="17"/>
        <v>51249</v>
      </c>
      <c r="Q94" s="17">
        <f t="shared" si="18"/>
        <v>707</v>
      </c>
      <c r="R94" s="17">
        <f t="shared" si="19"/>
        <v>2319</v>
      </c>
    </row>
    <row r="95" spans="1:18" s="18" customFormat="1" x14ac:dyDescent="0.35">
      <c r="A95" s="16" t="s">
        <v>407</v>
      </c>
      <c r="B95" s="16" t="s">
        <v>408</v>
      </c>
      <c r="C95" s="16" t="s">
        <v>393</v>
      </c>
      <c r="D95" s="16" t="s">
        <v>394</v>
      </c>
      <c r="E95" s="16" t="s">
        <v>251</v>
      </c>
      <c r="F95" s="17">
        <v>7</v>
      </c>
      <c r="G95" s="17">
        <v>76393</v>
      </c>
      <c r="H95" s="17">
        <v>0</v>
      </c>
      <c r="I95" s="17">
        <v>0</v>
      </c>
      <c r="J95" s="17">
        <v>0</v>
      </c>
      <c r="K95" s="17">
        <f t="shared" si="16"/>
        <v>76393</v>
      </c>
      <c r="L95" s="17">
        <v>20584</v>
      </c>
      <c r="M95" s="17">
        <v>2090</v>
      </c>
      <c r="N95" s="17">
        <v>0</v>
      </c>
      <c r="O95" s="17">
        <v>0</v>
      </c>
      <c r="P95" s="17">
        <f t="shared" si="17"/>
        <v>22674</v>
      </c>
      <c r="Q95" s="17">
        <f t="shared" si="18"/>
        <v>53719</v>
      </c>
      <c r="R95" s="17">
        <f t="shared" si="19"/>
        <v>55809</v>
      </c>
    </row>
    <row r="96" spans="1:18" s="18" customFormat="1" x14ac:dyDescent="0.35">
      <c r="A96" s="16" t="s">
        <v>409</v>
      </c>
      <c r="B96" s="16" t="s">
        <v>410</v>
      </c>
      <c r="C96" s="16" t="s">
        <v>393</v>
      </c>
      <c r="D96" s="16" t="s">
        <v>394</v>
      </c>
      <c r="E96" s="16" t="s">
        <v>251</v>
      </c>
      <c r="F96" s="17">
        <v>7</v>
      </c>
      <c r="G96" s="17">
        <v>64132</v>
      </c>
      <c r="H96" s="17">
        <v>0</v>
      </c>
      <c r="I96" s="17">
        <v>0</v>
      </c>
      <c r="J96" s="17">
        <v>0</v>
      </c>
      <c r="K96" s="17">
        <f t="shared" si="16"/>
        <v>64132</v>
      </c>
      <c r="L96" s="17">
        <v>62573</v>
      </c>
      <c r="M96" s="17">
        <v>4127</v>
      </c>
      <c r="N96" s="17">
        <v>0</v>
      </c>
      <c r="O96" s="17">
        <v>0</v>
      </c>
      <c r="P96" s="17">
        <f t="shared" si="17"/>
        <v>66700</v>
      </c>
      <c r="Q96" s="17">
        <f t="shared" si="18"/>
        <v>-2568</v>
      </c>
      <c r="R96" s="17">
        <f t="shared" si="19"/>
        <v>1559</v>
      </c>
    </row>
    <row r="98" spans="1:18" x14ac:dyDescent="0.35">
      <c r="A98" s="25" t="s">
        <v>923</v>
      </c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</row>
    <row r="99" spans="1:18" x14ac:dyDescent="0.35">
      <c r="A99" s="6" t="s">
        <v>217</v>
      </c>
      <c r="B99" s="6" t="s">
        <v>218</v>
      </c>
      <c r="C99" s="6" t="s">
        <v>219</v>
      </c>
      <c r="D99" s="6" t="s">
        <v>220</v>
      </c>
      <c r="E99" s="6" t="s">
        <v>221</v>
      </c>
      <c r="F99" s="6" t="s">
        <v>222</v>
      </c>
      <c r="G99" s="6" t="s">
        <v>223</v>
      </c>
      <c r="H99" s="6" t="s">
        <v>224</v>
      </c>
      <c r="I99" s="6" t="s">
        <v>225</v>
      </c>
      <c r="J99" s="6" t="s">
        <v>226</v>
      </c>
      <c r="K99" s="6" t="s">
        <v>227</v>
      </c>
      <c r="L99" s="6" t="s">
        <v>228</v>
      </c>
      <c r="M99" s="6" t="s">
        <v>229</v>
      </c>
      <c r="N99" s="6" t="s">
        <v>230</v>
      </c>
      <c r="O99" s="6" t="s">
        <v>231</v>
      </c>
      <c r="P99" s="6" t="s">
        <v>232</v>
      </c>
      <c r="Q99" s="6" t="s">
        <v>233</v>
      </c>
      <c r="R99" s="6" t="s">
        <v>234</v>
      </c>
    </row>
    <row r="100" spans="1:18" s="18" customFormat="1" x14ac:dyDescent="0.35">
      <c r="A100" s="16" t="s">
        <v>411</v>
      </c>
      <c r="B100" s="16" t="s">
        <v>412</v>
      </c>
      <c r="C100" s="16" t="s">
        <v>413</v>
      </c>
      <c r="D100" s="16" t="s">
        <v>394</v>
      </c>
      <c r="E100" s="16" t="s">
        <v>317</v>
      </c>
      <c r="F100" s="17" t="s">
        <v>318</v>
      </c>
      <c r="G100" s="17">
        <v>27914</v>
      </c>
      <c r="H100" s="17">
        <v>27700</v>
      </c>
      <c r="I100" s="17">
        <v>0</v>
      </c>
      <c r="J100" s="17">
        <v>-10755</v>
      </c>
      <c r="K100" s="17">
        <f>G100+H100+I100+J100</f>
        <v>44859</v>
      </c>
      <c r="L100" s="17">
        <v>0</v>
      </c>
      <c r="M100" s="17">
        <v>0</v>
      </c>
      <c r="N100" s="17">
        <v>0</v>
      </c>
      <c r="O100" s="17">
        <v>0</v>
      </c>
      <c r="P100" s="17">
        <f>L100+M100+N100+O100</f>
        <v>0</v>
      </c>
      <c r="Q100" s="17">
        <f>K100-P100</f>
        <v>44859</v>
      </c>
      <c r="R100" s="17">
        <f>G100-L100</f>
        <v>27914</v>
      </c>
    </row>
    <row r="101" spans="1:18" s="18" customFormat="1" x14ac:dyDescent="0.35">
      <c r="A101" s="16" t="s">
        <v>414</v>
      </c>
      <c r="B101" s="16" t="s">
        <v>415</v>
      </c>
      <c r="C101" s="16" t="s">
        <v>413</v>
      </c>
      <c r="D101" s="16" t="s">
        <v>394</v>
      </c>
      <c r="E101" s="16" t="s">
        <v>317</v>
      </c>
      <c r="F101" s="17" t="s">
        <v>318</v>
      </c>
      <c r="G101" s="17">
        <v>36242</v>
      </c>
      <c r="H101" s="17">
        <v>33972</v>
      </c>
      <c r="I101" s="17">
        <v>0</v>
      </c>
      <c r="J101" s="17">
        <v>0</v>
      </c>
      <c r="K101" s="17">
        <f>G101+H101+I101+J101</f>
        <v>70214</v>
      </c>
      <c r="L101" s="17">
        <v>0</v>
      </c>
      <c r="M101" s="17">
        <v>0</v>
      </c>
      <c r="N101" s="17">
        <v>0</v>
      </c>
      <c r="O101" s="17">
        <v>0</v>
      </c>
      <c r="P101" s="17">
        <f>L101+M101+N101+O101</f>
        <v>0</v>
      </c>
      <c r="Q101" s="17">
        <f>K101-P101</f>
        <v>70214</v>
      </c>
      <c r="R101" s="17">
        <f>G101-L101</f>
        <v>36242</v>
      </c>
    </row>
    <row r="102" spans="1:18" s="18" customFormat="1" x14ac:dyDescent="0.35">
      <c r="A102" s="16" t="s">
        <v>416</v>
      </c>
      <c r="B102" s="16" t="s">
        <v>417</v>
      </c>
      <c r="C102" s="16" t="s">
        <v>413</v>
      </c>
      <c r="D102" s="16" t="s">
        <v>394</v>
      </c>
      <c r="E102" s="16" t="s">
        <v>317</v>
      </c>
      <c r="F102" s="17" t="s">
        <v>318</v>
      </c>
      <c r="G102" s="17">
        <v>84180</v>
      </c>
      <c r="H102" s="17">
        <v>33677</v>
      </c>
      <c r="I102" s="17">
        <v>0</v>
      </c>
      <c r="J102" s="17">
        <v>0</v>
      </c>
      <c r="K102" s="17">
        <f>G102+H102+I102+J102</f>
        <v>117857</v>
      </c>
      <c r="L102" s="17">
        <v>0</v>
      </c>
      <c r="M102" s="17">
        <v>0</v>
      </c>
      <c r="N102" s="17">
        <v>0</v>
      </c>
      <c r="O102" s="17">
        <v>0</v>
      </c>
      <c r="P102" s="17">
        <f>L102+M102+N102+O102</f>
        <v>0</v>
      </c>
      <c r="Q102" s="17">
        <f>K102-P102</f>
        <v>117857</v>
      </c>
      <c r="R102" s="17">
        <f>G102-L102</f>
        <v>84180</v>
      </c>
    </row>
    <row r="103" spans="1:18" s="18" customFormat="1" x14ac:dyDescent="0.35">
      <c r="A103" s="16" t="s">
        <v>418</v>
      </c>
      <c r="B103" s="16" t="s">
        <v>419</v>
      </c>
      <c r="C103" s="16" t="s">
        <v>413</v>
      </c>
      <c r="D103" s="16" t="s">
        <v>394</v>
      </c>
      <c r="E103" s="16" t="s">
        <v>317</v>
      </c>
      <c r="F103" s="17" t="s">
        <v>318</v>
      </c>
      <c r="G103" s="17">
        <v>35210</v>
      </c>
      <c r="H103" s="17">
        <v>35016</v>
      </c>
      <c r="I103" s="17">
        <v>0</v>
      </c>
      <c r="J103" s="17">
        <v>0</v>
      </c>
      <c r="K103" s="17">
        <f>G103+H103+I103+J103</f>
        <v>70226</v>
      </c>
      <c r="L103" s="17">
        <v>0</v>
      </c>
      <c r="M103" s="17">
        <v>0</v>
      </c>
      <c r="N103" s="17">
        <v>0</v>
      </c>
      <c r="O103" s="17">
        <v>0</v>
      </c>
      <c r="P103" s="17">
        <f>L103+M103+N103+O103</f>
        <v>0</v>
      </c>
      <c r="Q103" s="17">
        <f>K103-P103</f>
        <v>70226</v>
      </c>
      <c r="R103" s="17">
        <f>G103-L103</f>
        <v>35210</v>
      </c>
    </row>
  </sheetData>
  <mergeCells count="9">
    <mergeCell ref="A4:R4"/>
    <mergeCell ref="A12:R12"/>
    <mergeCell ref="A27:R27"/>
    <mergeCell ref="A45:R45"/>
    <mergeCell ref="A98:R98"/>
    <mergeCell ref="A56:R56"/>
    <mergeCell ref="A75:R75"/>
    <mergeCell ref="A80:R80"/>
    <mergeCell ref="A86:R8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26"/>
  <sheetViews>
    <sheetView showGridLines="0" zoomScaleNormal="100" workbookViewId="0"/>
  </sheetViews>
  <sheetFormatPr defaultColWidth="8.6328125" defaultRowHeight="14.5" x14ac:dyDescent="0.35"/>
  <cols>
    <col min="1" max="1" width="11" customWidth="1"/>
    <col min="2" max="2" width="32" customWidth="1"/>
    <col min="3" max="3" width="12" customWidth="1"/>
    <col min="4" max="4" width="16" customWidth="1"/>
    <col min="5" max="5" width="24" customWidth="1"/>
    <col min="6" max="6" width="18" customWidth="1"/>
    <col min="7" max="8" width="12" customWidth="1"/>
    <col min="9" max="9" width="14" customWidth="1"/>
    <col min="10" max="10" width="9" customWidth="1"/>
    <col min="11" max="11" width="13" customWidth="1"/>
    <col min="12" max="12" width="20" customWidth="1"/>
    <col min="13" max="16" width="15" customWidth="1"/>
    <col min="17" max="17" width="9" bestFit="1" customWidth="1"/>
  </cols>
  <sheetData>
    <row r="1" spans="1:16" ht="17.25" customHeight="1" x14ac:dyDescent="0.4">
      <c r="A1" s="19" t="s">
        <v>906</v>
      </c>
    </row>
    <row r="2" spans="1:16" ht="39.75" customHeight="1" x14ac:dyDescent="0.35">
      <c r="A2" s="3"/>
    </row>
    <row r="4" spans="1:16" ht="18" customHeight="1" x14ac:dyDescent="0.35">
      <c r="A4" s="25" t="s">
        <v>907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</row>
    <row r="5" spans="1:16" ht="25.5" customHeight="1" x14ac:dyDescent="0.35">
      <c r="A5" s="1" t="s">
        <v>618</v>
      </c>
      <c r="B5" s="1" t="s">
        <v>619</v>
      </c>
      <c r="C5" s="1" t="s">
        <v>620</v>
      </c>
      <c r="D5" s="1" t="s">
        <v>219</v>
      </c>
      <c r="E5" s="1" t="s">
        <v>621</v>
      </c>
      <c r="F5" s="1" t="s">
        <v>622</v>
      </c>
      <c r="G5" s="1" t="s">
        <v>623</v>
      </c>
      <c r="H5" s="1" t="s">
        <v>427</v>
      </c>
      <c r="I5" s="1" t="s">
        <v>624</v>
      </c>
      <c r="J5" s="1" t="s">
        <v>425</v>
      </c>
      <c r="K5" s="1" t="s">
        <v>625</v>
      </c>
      <c r="L5" s="1" t="s">
        <v>626</v>
      </c>
      <c r="M5" s="1" t="s">
        <v>627</v>
      </c>
      <c r="N5" s="1" t="s">
        <v>434</v>
      </c>
      <c r="O5" s="1" t="s">
        <v>628</v>
      </c>
      <c r="P5" s="1" t="s">
        <v>629</v>
      </c>
    </row>
    <row r="6" spans="1:16" s="18" customFormat="1" ht="15" customHeight="1" x14ac:dyDescent="0.35">
      <c r="A6" s="16" t="s">
        <v>630</v>
      </c>
      <c r="B6" s="16" t="s">
        <v>631</v>
      </c>
      <c r="C6" s="16" t="s">
        <v>632</v>
      </c>
      <c r="D6" s="16" t="s">
        <v>633</v>
      </c>
      <c r="E6" s="16" t="s">
        <v>634</v>
      </c>
      <c r="F6" s="16" t="s">
        <v>635</v>
      </c>
      <c r="G6" s="16" t="s">
        <v>563</v>
      </c>
      <c r="H6" s="16" t="s">
        <v>476</v>
      </c>
      <c r="I6" s="16" t="s">
        <v>636</v>
      </c>
      <c r="J6" s="16" t="s">
        <v>439</v>
      </c>
      <c r="K6" s="16" t="s">
        <v>637</v>
      </c>
      <c r="L6" s="16" t="s">
        <v>638</v>
      </c>
      <c r="M6" s="17">
        <v>3455642</v>
      </c>
      <c r="N6" s="17">
        <v>-4055</v>
      </c>
      <c r="O6" s="17">
        <f t="shared" ref="O6:O23" si="0">M6+N6</f>
        <v>3451587</v>
      </c>
      <c r="P6" s="17">
        <v>2909133</v>
      </c>
    </row>
    <row r="7" spans="1:16" s="18" customFormat="1" ht="15" customHeight="1" x14ac:dyDescent="0.35">
      <c r="A7" s="16" t="s">
        <v>639</v>
      </c>
      <c r="B7" s="16" t="s">
        <v>640</v>
      </c>
      <c r="C7" s="16" t="s">
        <v>632</v>
      </c>
      <c r="D7" s="16" t="s">
        <v>633</v>
      </c>
      <c r="E7" s="16" t="s">
        <v>641</v>
      </c>
      <c r="F7" s="16" t="s">
        <v>642</v>
      </c>
      <c r="G7" s="16" t="s">
        <v>568</v>
      </c>
      <c r="H7" s="16" t="s">
        <v>564</v>
      </c>
      <c r="I7" s="16" t="s">
        <v>636</v>
      </c>
      <c r="J7" s="16" t="s">
        <v>439</v>
      </c>
      <c r="K7" s="16" t="s">
        <v>637</v>
      </c>
      <c r="L7" s="16" t="s">
        <v>638</v>
      </c>
      <c r="M7" s="17">
        <v>4235681</v>
      </c>
      <c r="N7" s="17">
        <v>-39678</v>
      </c>
      <c r="O7" s="17">
        <f t="shared" si="0"/>
        <v>4196003</v>
      </c>
      <c r="P7" s="17">
        <v>5701819</v>
      </c>
    </row>
    <row r="8" spans="1:16" s="18" customFormat="1" ht="15" customHeight="1" x14ac:dyDescent="0.35">
      <c r="A8" s="16" t="s">
        <v>643</v>
      </c>
      <c r="B8" s="16" t="s">
        <v>644</v>
      </c>
      <c r="C8" s="16" t="s">
        <v>632</v>
      </c>
      <c r="D8" s="16" t="s">
        <v>633</v>
      </c>
      <c r="E8" s="16" t="s">
        <v>641</v>
      </c>
      <c r="F8" s="16" t="s">
        <v>642</v>
      </c>
      <c r="G8" s="16" t="s">
        <v>572</v>
      </c>
      <c r="H8" s="16" t="s">
        <v>527</v>
      </c>
      <c r="I8" s="16" t="s">
        <v>636</v>
      </c>
      <c r="J8" s="16" t="s">
        <v>439</v>
      </c>
      <c r="K8" s="16" t="s">
        <v>637</v>
      </c>
      <c r="L8" s="16" t="s">
        <v>493</v>
      </c>
      <c r="M8" s="17">
        <v>1043471</v>
      </c>
      <c r="N8" s="17">
        <v>-6310</v>
      </c>
      <c r="O8" s="17">
        <f t="shared" si="0"/>
        <v>1037161</v>
      </c>
      <c r="P8" s="17">
        <v>4381738</v>
      </c>
    </row>
    <row r="9" spans="1:16" s="18" customFormat="1" ht="15" customHeight="1" x14ac:dyDescent="0.35">
      <c r="A9" s="16" t="s">
        <v>645</v>
      </c>
      <c r="B9" s="16" t="s">
        <v>646</v>
      </c>
      <c r="C9" s="16" t="s">
        <v>632</v>
      </c>
      <c r="D9" s="16" t="s">
        <v>633</v>
      </c>
      <c r="E9" s="16" t="s">
        <v>634</v>
      </c>
      <c r="F9" s="16" t="s">
        <v>647</v>
      </c>
      <c r="G9" s="16" t="s">
        <v>526</v>
      </c>
      <c r="H9" s="16" t="s">
        <v>520</v>
      </c>
      <c r="I9" s="16" t="s">
        <v>636</v>
      </c>
      <c r="J9" s="16" t="s">
        <v>439</v>
      </c>
      <c r="K9" s="16" t="s">
        <v>637</v>
      </c>
      <c r="L9" s="16" t="s">
        <v>493</v>
      </c>
      <c r="M9" s="17">
        <v>4867395</v>
      </c>
      <c r="N9" s="17">
        <v>-13929</v>
      </c>
      <c r="O9" s="17">
        <f t="shared" si="0"/>
        <v>4853466</v>
      </c>
      <c r="P9" s="17">
        <v>1304536</v>
      </c>
    </row>
    <row r="10" spans="1:16" s="18" customFormat="1" ht="15" customHeight="1" x14ac:dyDescent="0.35">
      <c r="A10" s="16" t="s">
        <v>648</v>
      </c>
      <c r="B10" s="16" t="s">
        <v>649</v>
      </c>
      <c r="C10" s="16" t="s">
        <v>632</v>
      </c>
      <c r="D10" s="16" t="s">
        <v>633</v>
      </c>
      <c r="E10" s="16" t="s">
        <v>641</v>
      </c>
      <c r="F10" s="16" t="s">
        <v>635</v>
      </c>
      <c r="G10" s="16" t="s">
        <v>531</v>
      </c>
      <c r="H10" s="16" t="s">
        <v>490</v>
      </c>
      <c r="I10" s="16" t="s">
        <v>636</v>
      </c>
      <c r="J10" s="16" t="s">
        <v>439</v>
      </c>
      <c r="K10" s="16" t="s">
        <v>637</v>
      </c>
      <c r="L10" s="16" t="s">
        <v>493</v>
      </c>
      <c r="M10" s="17">
        <v>3753634</v>
      </c>
      <c r="N10" s="17">
        <v>-5737</v>
      </c>
      <c r="O10" s="17">
        <f t="shared" si="0"/>
        <v>3747897</v>
      </c>
      <c r="P10" s="17">
        <v>3682564</v>
      </c>
    </row>
    <row r="11" spans="1:16" s="18" customFormat="1" ht="15" customHeight="1" x14ac:dyDescent="0.35">
      <c r="A11" s="16" t="s">
        <v>650</v>
      </c>
      <c r="B11" s="16" t="s">
        <v>651</v>
      </c>
      <c r="C11" s="16" t="s">
        <v>632</v>
      </c>
      <c r="D11" s="16" t="s">
        <v>633</v>
      </c>
      <c r="E11" s="16" t="s">
        <v>652</v>
      </c>
      <c r="F11" s="16" t="s">
        <v>635</v>
      </c>
      <c r="G11" s="16" t="s">
        <v>489</v>
      </c>
      <c r="H11" s="16" t="s">
        <v>497</v>
      </c>
      <c r="I11" s="16" t="s">
        <v>636</v>
      </c>
      <c r="J11" s="16" t="s">
        <v>439</v>
      </c>
      <c r="K11" s="16" t="s">
        <v>637</v>
      </c>
      <c r="L11" s="16" t="s">
        <v>493</v>
      </c>
      <c r="M11" s="17">
        <v>3842379</v>
      </c>
      <c r="N11" s="17">
        <v>-3885</v>
      </c>
      <c r="O11" s="17">
        <f t="shared" si="0"/>
        <v>3838494</v>
      </c>
      <c r="P11" s="17">
        <v>1763203</v>
      </c>
    </row>
    <row r="12" spans="1:16" s="18" customFormat="1" ht="15" customHeight="1" x14ac:dyDescent="0.35">
      <c r="A12" s="16" t="s">
        <v>653</v>
      </c>
      <c r="B12" s="16" t="s">
        <v>654</v>
      </c>
      <c r="C12" s="16" t="s">
        <v>632</v>
      </c>
      <c r="D12" s="16" t="s">
        <v>633</v>
      </c>
      <c r="E12" s="16" t="s">
        <v>634</v>
      </c>
      <c r="F12" s="16" t="s">
        <v>642</v>
      </c>
      <c r="G12" s="16" t="s">
        <v>496</v>
      </c>
      <c r="H12" s="16" t="s">
        <v>503</v>
      </c>
      <c r="I12" s="16" t="s">
        <v>636</v>
      </c>
      <c r="J12" s="16" t="s">
        <v>439</v>
      </c>
      <c r="K12" s="16" t="s">
        <v>637</v>
      </c>
      <c r="L12" s="16" t="s">
        <v>493</v>
      </c>
      <c r="M12" s="17">
        <v>4699571</v>
      </c>
      <c r="N12" s="17">
        <v>-17568</v>
      </c>
      <c r="O12" s="17">
        <f t="shared" si="0"/>
        <v>4682003</v>
      </c>
      <c r="P12" s="17">
        <v>1238590</v>
      </c>
    </row>
    <row r="13" spans="1:16" s="18" customFormat="1" ht="15" customHeight="1" x14ac:dyDescent="0.35">
      <c r="A13" s="16" t="s">
        <v>655</v>
      </c>
      <c r="B13" s="16" t="s">
        <v>656</v>
      </c>
      <c r="C13" s="16" t="s">
        <v>632</v>
      </c>
      <c r="D13" s="16" t="s">
        <v>633</v>
      </c>
      <c r="E13" s="16" t="s">
        <v>641</v>
      </c>
      <c r="F13" s="16" t="s">
        <v>642</v>
      </c>
      <c r="G13" s="16" t="s">
        <v>502</v>
      </c>
      <c r="H13" s="16" t="s">
        <v>508</v>
      </c>
      <c r="I13" s="16" t="s">
        <v>636</v>
      </c>
      <c r="J13" s="16" t="s">
        <v>439</v>
      </c>
      <c r="K13" s="16" t="s">
        <v>637</v>
      </c>
      <c r="L13" s="16" t="s">
        <v>493</v>
      </c>
      <c r="M13" s="17">
        <v>2471200</v>
      </c>
      <c r="N13" s="17">
        <v>-29712</v>
      </c>
      <c r="O13" s="17">
        <f t="shared" si="0"/>
        <v>2441488</v>
      </c>
      <c r="P13" s="17">
        <v>4950944</v>
      </c>
    </row>
    <row r="14" spans="1:16" s="18" customFormat="1" ht="15" customHeight="1" x14ac:dyDescent="0.35">
      <c r="A14" s="16" t="s">
        <v>657</v>
      </c>
      <c r="B14" s="16" t="s">
        <v>658</v>
      </c>
      <c r="C14" s="16" t="s">
        <v>632</v>
      </c>
      <c r="D14" s="16" t="s">
        <v>633</v>
      </c>
      <c r="E14" s="16" t="s">
        <v>634</v>
      </c>
      <c r="F14" s="16" t="s">
        <v>647</v>
      </c>
      <c r="G14" s="16" t="s">
        <v>387</v>
      </c>
      <c r="H14" s="16" t="s">
        <v>513</v>
      </c>
      <c r="I14" s="16" t="s">
        <v>636</v>
      </c>
      <c r="J14" s="16" t="s">
        <v>439</v>
      </c>
      <c r="K14" s="16" t="s">
        <v>637</v>
      </c>
      <c r="L14" s="16" t="s">
        <v>493</v>
      </c>
      <c r="M14" s="17">
        <v>4494851</v>
      </c>
      <c r="N14" s="17">
        <v>-35269</v>
      </c>
      <c r="O14" s="17">
        <f t="shared" si="0"/>
        <v>4459582</v>
      </c>
      <c r="P14" s="17">
        <v>5722559</v>
      </c>
    </row>
    <row r="15" spans="1:16" s="18" customFormat="1" ht="15" customHeight="1" x14ac:dyDescent="0.35">
      <c r="A15" s="16" t="s">
        <v>659</v>
      </c>
      <c r="B15" s="16" t="s">
        <v>660</v>
      </c>
      <c r="C15" s="16" t="s">
        <v>632</v>
      </c>
      <c r="D15" s="16" t="s">
        <v>633</v>
      </c>
      <c r="E15" s="16" t="s">
        <v>634</v>
      </c>
      <c r="F15" s="16" t="s">
        <v>647</v>
      </c>
      <c r="G15" s="16" t="s">
        <v>563</v>
      </c>
      <c r="H15" s="16" t="s">
        <v>476</v>
      </c>
      <c r="I15" s="16" t="s">
        <v>636</v>
      </c>
      <c r="J15" s="16" t="s">
        <v>439</v>
      </c>
      <c r="K15" s="16" t="s">
        <v>637</v>
      </c>
      <c r="L15" s="16" t="s">
        <v>493</v>
      </c>
      <c r="M15" s="17">
        <v>3955269</v>
      </c>
      <c r="N15" s="17">
        <v>-26467</v>
      </c>
      <c r="O15" s="17">
        <f t="shared" si="0"/>
        <v>3928802</v>
      </c>
      <c r="P15" s="17">
        <v>3506983</v>
      </c>
    </row>
    <row r="16" spans="1:16" s="18" customFormat="1" ht="15" customHeight="1" x14ac:dyDescent="0.35">
      <c r="A16" s="16" t="s">
        <v>661</v>
      </c>
      <c r="B16" s="16" t="s">
        <v>662</v>
      </c>
      <c r="C16" s="16" t="s">
        <v>632</v>
      </c>
      <c r="D16" s="16" t="s">
        <v>633</v>
      </c>
      <c r="E16" s="16" t="s">
        <v>663</v>
      </c>
      <c r="F16" s="16" t="s">
        <v>635</v>
      </c>
      <c r="G16" s="16" t="s">
        <v>568</v>
      </c>
      <c r="H16" s="16" t="s">
        <v>564</v>
      </c>
      <c r="I16" s="16" t="s">
        <v>636</v>
      </c>
      <c r="J16" s="16" t="s">
        <v>439</v>
      </c>
      <c r="K16" s="16" t="s">
        <v>637</v>
      </c>
      <c r="L16" s="16" t="s">
        <v>493</v>
      </c>
      <c r="M16" s="17">
        <v>1536374</v>
      </c>
      <c r="N16" s="17">
        <v>-35877</v>
      </c>
      <c r="O16" s="17">
        <f t="shared" si="0"/>
        <v>1500497</v>
      </c>
      <c r="P16" s="17">
        <v>4070047</v>
      </c>
    </row>
    <row r="17" spans="1:16" s="18" customFormat="1" ht="15" customHeight="1" x14ac:dyDescent="0.35">
      <c r="A17" s="16" t="s">
        <v>664</v>
      </c>
      <c r="B17" s="16" t="s">
        <v>665</v>
      </c>
      <c r="C17" s="16" t="s">
        <v>632</v>
      </c>
      <c r="D17" s="16" t="s">
        <v>633</v>
      </c>
      <c r="E17" s="16" t="s">
        <v>666</v>
      </c>
      <c r="F17" s="16" t="s">
        <v>635</v>
      </c>
      <c r="G17" s="16" t="s">
        <v>572</v>
      </c>
      <c r="H17" s="16" t="s">
        <v>527</v>
      </c>
      <c r="I17" s="16" t="s">
        <v>636</v>
      </c>
      <c r="J17" s="16" t="s">
        <v>439</v>
      </c>
      <c r="K17" s="16" t="s">
        <v>637</v>
      </c>
      <c r="L17" s="16" t="s">
        <v>493</v>
      </c>
      <c r="M17" s="17">
        <v>4089142</v>
      </c>
      <c r="N17" s="17">
        <v>-12763</v>
      </c>
      <c r="O17" s="17">
        <f t="shared" si="0"/>
        <v>4076379</v>
      </c>
      <c r="P17" s="17">
        <v>1666976</v>
      </c>
    </row>
    <row r="18" spans="1:16" s="18" customFormat="1" ht="15" customHeight="1" x14ac:dyDescent="0.35">
      <c r="A18" s="16" t="s">
        <v>667</v>
      </c>
      <c r="B18" s="16" t="s">
        <v>668</v>
      </c>
      <c r="C18" s="16" t="s">
        <v>632</v>
      </c>
      <c r="D18" s="16" t="s">
        <v>633</v>
      </c>
      <c r="E18" s="16" t="s">
        <v>666</v>
      </c>
      <c r="F18" s="16" t="s">
        <v>642</v>
      </c>
      <c r="G18" s="16" t="s">
        <v>526</v>
      </c>
      <c r="H18" s="16" t="s">
        <v>520</v>
      </c>
      <c r="I18" s="16" t="s">
        <v>636</v>
      </c>
      <c r="J18" s="16" t="s">
        <v>439</v>
      </c>
      <c r="K18" s="16" t="s">
        <v>637</v>
      </c>
      <c r="L18" s="16" t="s">
        <v>493</v>
      </c>
      <c r="M18" s="17">
        <v>3594811</v>
      </c>
      <c r="N18" s="17">
        <v>-7140</v>
      </c>
      <c r="O18" s="17">
        <f t="shared" si="0"/>
        <v>3587671</v>
      </c>
      <c r="P18" s="17">
        <v>1450948</v>
      </c>
    </row>
    <row r="19" spans="1:16" s="18" customFormat="1" ht="15" customHeight="1" x14ac:dyDescent="0.35">
      <c r="A19" s="16" t="s">
        <v>669</v>
      </c>
      <c r="B19" s="16" t="s">
        <v>670</v>
      </c>
      <c r="C19" s="16" t="s">
        <v>632</v>
      </c>
      <c r="D19" s="16" t="s">
        <v>633</v>
      </c>
      <c r="E19" s="16" t="s">
        <v>666</v>
      </c>
      <c r="F19" s="16" t="s">
        <v>635</v>
      </c>
      <c r="G19" s="16" t="s">
        <v>531</v>
      </c>
      <c r="H19" s="16" t="s">
        <v>490</v>
      </c>
      <c r="I19" s="16" t="s">
        <v>636</v>
      </c>
      <c r="J19" s="16" t="s">
        <v>439</v>
      </c>
      <c r="K19" s="16" t="s">
        <v>637</v>
      </c>
      <c r="L19" s="16" t="s">
        <v>493</v>
      </c>
      <c r="M19" s="17">
        <v>4583011</v>
      </c>
      <c r="N19" s="17">
        <v>-34610</v>
      </c>
      <c r="O19" s="17">
        <f t="shared" si="0"/>
        <v>4548401</v>
      </c>
      <c r="P19" s="17">
        <v>2395429</v>
      </c>
    </row>
    <row r="20" spans="1:16" s="18" customFormat="1" ht="15" customHeight="1" x14ac:dyDescent="0.35">
      <c r="A20" s="16" t="s">
        <v>671</v>
      </c>
      <c r="B20" s="16" t="s">
        <v>672</v>
      </c>
      <c r="C20" s="16" t="s">
        <v>632</v>
      </c>
      <c r="D20" s="16" t="s">
        <v>633</v>
      </c>
      <c r="E20" s="16" t="s">
        <v>641</v>
      </c>
      <c r="F20" s="16" t="s">
        <v>635</v>
      </c>
      <c r="G20" s="16" t="s">
        <v>673</v>
      </c>
      <c r="H20" s="16" t="s">
        <v>381</v>
      </c>
      <c r="I20" s="16" t="s">
        <v>636</v>
      </c>
      <c r="J20" s="16" t="s">
        <v>439</v>
      </c>
      <c r="K20" s="16" t="s">
        <v>674</v>
      </c>
      <c r="L20" s="16" t="s">
        <v>675</v>
      </c>
      <c r="M20" s="17">
        <v>152944</v>
      </c>
      <c r="N20" s="17">
        <v>-316712</v>
      </c>
      <c r="O20" s="17">
        <f t="shared" si="0"/>
        <v>-163768</v>
      </c>
      <c r="P20" s="17">
        <v>170108</v>
      </c>
    </row>
    <row r="21" spans="1:16" s="18" customFormat="1" ht="15" customHeight="1" x14ac:dyDescent="0.35">
      <c r="A21" s="16" t="s">
        <v>676</v>
      </c>
      <c r="B21" s="16" t="s">
        <v>677</v>
      </c>
      <c r="C21" s="16" t="s">
        <v>632</v>
      </c>
      <c r="D21" s="16" t="s">
        <v>633</v>
      </c>
      <c r="E21" s="16" t="s">
        <v>652</v>
      </c>
      <c r="F21" s="16" t="s">
        <v>647</v>
      </c>
      <c r="G21" s="16" t="s">
        <v>678</v>
      </c>
      <c r="H21" s="16" t="s">
        <v>390</v>
      </c>
      <c r="I21" s="16" t="s">
        <v>636</v>
      </c>
      <c r="J21" s="16" t="s">
        <v>439</v>
      </c>
      <c r="K21" s="16" t="s">
        <v>674</v>
      </c>
      <c r="L21" s="16" t="s">
        <v>675</v>
      </c>
      <c r="M21" s="17">
        <v>181473</v>
      </c>
      <c r="N21" s="17">
        <v>-266179</v>
      </c>
      <c r="O21" s="17">
        <f t="shared" si="0"/>
        <v>-84706</v>
      </c>
      <c r="P21" s="17">
        <v>132454</v>
      </c>
    </row>
    <row r="22" spans="1:16" s="18" customFormat="1" ht="15" customHeight="1" x14ac:dyDescent="0.35">
      <c r="A22" s="16" t="s">
        <v>679</v>
      </c>
      <c r="B22" s="16" t="s">
        <v>680</v>
      </c>
      <c r="C22" s="16" t="s">
        <v>632</v>
      </c>
      <c r="D22" s="16" t="s">
        <v>633</v>
      </c>
      <c r="E22" s="16" t="s">
        <v>652</v>
      </c>
      <c r="F22" s="16" t="s">
        <v>642</v>
      </c>
      <c r="G22" s="16" t="s">
        <v>681</v>
      </c>
      <c r="H22" s="16" t="s">
        <v>476</v>
      </c>
      <c r="I22" s="16" t="s">
        <v>636</v>
      </c>
      <c r="J22" s="16" t="s">
        <v>439</v>
      </c>
      <c r="K22" s="16" t="s">
        <v>674</v>
      </c>
      <c r="L22" s="16" t="s">
        <v>675</v>
      </c>
      <c r="M22" s="17">
        <v>97746</v>
      </c>
      <c r="N22" s="17">
        <v>-281581</v>
      </c>
      <c r="O22" s="17">
        <f t="shared" si="0"/>
        <v>-183835</v>
      </c>
      <c r="P22" s="17">
        <v>119394</v>
      </c>
    </row>
    <row r="23" spans="1:16" s="18" customFormat="1" ht="15" customHeight="1" x14ac:dyDescent="0.35">
      <c r="A23" s="16" t="s">
        <v>682</v>
      </c>
      <c r="B23" s="16" t="s">
        <v>683</v>
      </c>
      <c r="C23" s="16" t="s">
        <v>632</v>
      </c>
      <c r="D23" s="16" t="s">
        <v>633</v>
      </c>
      <c r="E23" s="16" t="s">
        <v>634</v>
      </c>
      <c r="F23" s="16" t="s">
        <v>642</v>
      </c>
      <c r="G23" s="16" t="s">
        <v>563</v>
      </c>
      <c r="H23" s="16" t="s">
        <v>564</v>
      </c>
      <c r="I23" s="16" t="s">
        <v>636</v>
      </c>
      <c r="J23" s="16" t="s">
        <v>439</v>
      </c>
      <c r="K23" s="16" t="s">
        <v>674</v>
      </c>
      <c r="L23" s="16" t="s">
        <v>675</v>
      </c>
      <c r="M23" s="17">
        <v>263214</v>
      </c>
      <c r="N23" s="17">
        <v>-227527</v>
      </c>
      <c r="O23" s="17">
        <f t="shared" si="0"/>
        <v>35687</v>
      </c>
      <c r="P23" s="17">
        <v>175363</v>
      </c>
    </row>
    <row r="26" spans="1:16" ht="18" customHeight="1" x14ac:dyDescent="0.35">
      <c r="A26" s="25" t="s">
        <v>908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</row>
    <row r="27" spans="1:16" ht="25.5" customHeight="1" x14ac:dyDescent="0.35">
      <c r="A27" s="1" t="s">
        <v>618</v>
      </c>
      <c r="B27" s="1" t="s">
        <v>619</v>
      </c>
      <c r="C27" s="1" t="s">
        <v>620</v>
      </c>
      <c r="D27" s="1" t="s">
        <v>219</v>
      </c>
      <c r="E27" s="1" t="s">
        <v>621</v>
      </c>
      <c r="F27" s="1" t="s">
        <v>622</v>
      </c>
      <c r="G27" s="1" t="s">
        <v>623</v>
      </c>
      <c r="H27" s="1" t="s">
        <v>427</v>
      </c>
      <c r="I27" s="1" t="s">
        <v>624</v>
      </c>
      <c r="J27" s="1" t="s">
        <v>425</v>
      </c>
      <c r="K27" s="1" t="s">
        <v>625</v>
      </c>
      <c r="L27" s="1" t="s">
        <v>626</v>
      </c>
      <c r="M27" s="1" t="s">
        <v>627</v>
      </c>
      <c r="N27" s="1" t="s">
        <v>434</v>
      </c>
      <c r="O27" s="1" t="s">
        <v>628</v>
      </c>
      <c r="P27" s="1" t="s">
        <v>629</v>
      </c>
    </row>
    <row r="28" spans="1:16" s="18" customFormat="1" ht="15" customHeight="1" x14ac:dyDescent="0.35">
      <c r="A28" s="16" t="s">
        <v>684</v>
      </c>
      <c r="B28" s="16" t="s">
        <v>685</v>
      </c>
      <c r="C28" s="16" t="s">
        <v>632</v>
      </c>
      <c r="D28" s="16" t="s">
        <v>686</v>
      </c>
      <c r="E28" s="16" t="s">
        <v>641</v>
      </c>
      <c r="F28" s="16" t="s">
        <v>642</v>
      </c>
      <c r="G28" s="16" t="s">
        <v>563</v>
      </c>
      <c r="H28" s="16" t="s">
        <v>476</v>
      </c>
      <c r="I28" s="16" t="s">
        <v>687</v>
      </c>
      <c r="J28" s="16" t="s">
        <v>439</v>
      </c>
      <c r="K28" s="16" t="s">
        <v>637</v>
      </c>
      <c r="L28" s="16" t="s">
        <v>638</v>
      </c>
      <c r="M28" s="17">
        <v>556713</v>
      </c>
      <c r="N28" s="17">
        <v>-8722</v>
      </c>
      <c r="O28" s="17">
        <f t="shared" ref="O28:O40" si="1">M28+N28</f>
        <v>547991</v>
      </c>
      <c r="P28" s="17">
        <v>997441</v>
      </c>
    </row>
    <row r="29" spans="1:16" s="18" customFormat="1" ht="15" customHeight="1" x14ac:dyDescent="0.35">
      <c r="A29" s="16" t="s">
        <v>688</v>
      </c>
      <c r="B29" s="16" t="s">
        <v>689</v>
      </c>
      <c r="C29" s="16" t="s">
        <v>632</v>
      </c>
      <c r="D29" s="16" t="s">
        <v>686</v>
      </c>
      <c r="E29" s="16" t="s">
        <v>663</v>
      </c>
      <c r="F29" s="16" t="s">
        <v>642</v>
      </c>
      <c r="G29" s="16" t="s">
        <v>568</v>
      </c>
      <c r="H29" s="16" t="s">
        <v>564</v>
      </c>
      <c r="I29" s="16" t="s">
        <v>687</v>
      </c>
      <c r="J29" s="16" t="s">
        <v>439</v>
      </c>
      <c r="K29" s="16" t="s">
        <v>637</v>
      </c>
      <c r="L29" s="16" t="s">
        <v>493</v>
      </c>
      <c r="M29" s="17">
        <v>372809</v>
      </c>
      <c r="N29" s="17">
        <v>-3406</v>
      </c>
      <c r="O29" s="17">
        <f t="shared" si="1"/>
        <v>369403</v>
      </c>
      <c r="P29" s="17">
        <v>451495</v>
      </c>
    </row>
    <row r="30" spans="1:16" s="18" customFormat="1" ht="15" customHeight="1" x14ac:dyDescent="0.35">
      <c r="A30" s="16" t="s">
        <v>690</v>
      </c>
      <c r="B30" s="16" t="s">
        <v>691</v>
      </c>
      <c r="C30" s="16" t="s">
        <v>632</v>
      </c>
      <c r="D30" s="16" t="s">
        <v>686</v>
      </c>
      <c r="E30" s="16" t="s">
        <v>652</v>
      </c>
      <c r="F30" s="16" t="s">
        <v>642</v>
      </c>
      <c r="G30" s="16" t="s">
        <v>572</v>
      </c>
      <c r="H30" s="16" t="s">
        <v>527</v>
      </c>
      <c r="I30" s="16" t="s">
        <v>687</v>
      </c>
      <c r="J30" s="16" t="s">
        <v>439</v>
      </c>
      <c r="K30" s="16" t="s">
        <v>637</v>
      </c>
      <c r="L30" s="16" t="s">
        <v>493</v>
      </c>
      <c r="M30" s="17">
        <v>599342</v>
      </c>
      <c r="N30" s="17">
        <v>-9044</v>
      </c>
      <c r="O30" s="17">
        <f t="shared" si="1"/>
        <v>590298</v>
      </c>
      <c r="P30" s="17">
        <v>522686</v>
      </c>
    </row>
    <row r="31" spans="1:16" s="18" customFormat="1" ht="15" customHeight="1" x14ac:dyDescent="0.35">
      <c r="A31" s="16" t="s">
        <v>692</v>
      </c>
      <c r="B31" s="16" t="s">
        <v>693</v>
      </c>
      <c r="C31" s="16" t="s">
        <v>632</v>
      </c>
      <c r="D31" s="16" t="s">
        <v>686</v>
      </c>
      <c r="E31" s="16" t="s">
        <v>641</v>
      </c>
      <c r="F31" s="16" t="s">
        <v>694</v>
      </c>
      <c r="G31" s="16" t="s">
        <v>526</v>
      </c>
      <c r="H31" s="16" t="s">
        <v>520</v>
      </c>
      <c r="I31" s="16" t="s">
        <v>687</v>
      </c>
      <c r="J31" s="16" t="s">
        <v>439</v>
      </c>
      <c r="K31" s="16" t="s">
        <v>637</v>
      </c>
      <c r="L31" s="16" t="s">
        <v>493</v>
      </c>
      <c r="M31" s="17">
        <v>1254460</v>
      </c>
      <c r="N31" s="17">
        <v>-11222</v>
      </c>
      <c r="O31" s="17">
        <f t="shared" si="1"/>
        <v>1243238</v>
      </c>
      <c r="P31" s="17">
        <v>244543</v>
      </c>
    </row>
    <row r="32" spans="1:16" s="18" customFormat="1" ht="15" customHeight="1" x14ac:dyDescent="0.35">
      <c r="A32" s="16" t="s">
        <v>695</v>
      </c>
      <c r="B32" s="16" t="s">
        <v>696</v>
      </c>
      <c r="C32" s="16" t="s">
        <v>632</v>
      </c>
      <c r="D32" s="16" t="s">
        <v>686</v>
      </c>
      <c r="E32" s="16" t="s">
        <v>634</v>
      </c>
      <c r="F32" s="16" t="s">
        <v>694</v>
      </c>
      <c r="G32" s="16" t="s">
        <v>531</v>
      </c>
      <c r="H32" s="16" t="s">
        <v>490</v>
      </c>
      <c r="I32" s="16" t="s">
        <v>687</v>
      </c>
      <c r="J32" s="16" t="s">
        <v>439</v>
      </c>
      <c r="K32" s="16" t="s">
        <v>637</v>
      </c>
      <c r="L32" s="16" t="s">
        <v>493</v>
      </c>
      <c r="M32" s="17">
        <v>539634</v>
      </c>
      <c r="N32" s="17">
        <v>-8740</v>
      </c>
      <c r="O32" s="17">
        <f t="shared" si="1"/>
        <v>530894</v>
      </c>
      <c r="P32" s="17">
        <v>439194</v>
      </c>
    </row>
    <row r="33" spans="1:16" s="18" customFormat="1" ht="15" customHeight="1" x14ac:dyDescent="0.35">
      <c r="A33" s="16" t="s">
        <v>697</v>
      </c>
      <c r="B33" s="16" t="s">
        <v>698</v>
      </c>
      <c r="C33" s="16" t="s">
        <v>632</v>
      </c>
      <c r="D33" s="16" t="s">
        <v>686</v>
      </c>
      <c r="E33" s="16" t="s">
        <v>641</v>
      </c>
      <c r="F33" s="16" t="s">
        <v>642</v>
      </c>
      <c r="G33" s="16" t="s">
        <v>489</v>
      </c>
      <c r="H33" s="16" t="s">
        <v>497</v>
      </c>
      <c r="I33" s="16" t="s">
        <v>687</v>
      </c>
      <c r="J33" s="16" t="s">
        <v>439</v>
      </c>
      <c r="K33" s="16" t="s">
        <v>637</v>
      </c>
      <c r="L33" s="16" t="s">
        <v>493</v>
      </c>
      <c r="M33" s="17">
        <v>1183482</v>
      </c>
      <c r="N33" s="17">
        <v>-2829</v>
      </c>
      <c r="O33" s="17">
        <f t="shared" si="1"/>
        <v>1180653</v>
      </c>
      <c r="P33" s="17">
        <v>958660</v>
      </c>
    </row>
    <row r="34" spans="1:16" s="18" customFormat="1" ht="15" customHeight="1" x14ac:dyDescent="0.35">
      <c r="A34" s="16" t="s">
        <v>699</v>
      </c>
      <c r="B34" s="16" t="s">
        <v>700</v>
      </c>
      <c r="C34" s="16" t="s">
        <v>632</v>
      </c>
      <c r="D34" s="16" t="s">
        <v>686</v>
      </c>
      <c r="E34" s="16" t="s">
        <v>641</v>
      </c>
      <c r="F34" s="16" t="s">
        <v>642</v>
      </c>
      <c r="G34" s="16" t="s">
        <v>496</v>
      </c>
      <c r="H34" s="16" t="s">
        <v>503</v>
      </c>
      <c r="I34" s="16" t="s">
        <v>687</v>
      </c>
      <c r="J34" s="16" t="s">
        <v>439</v>
      </c>
      <c r="K34" s="16" t="s">
        <v>637</v>
      </c>
      <c r="L34" s="16" t="s">
        <v>493</v>
      </c>
      <c r="M34" s="17">
        <v>689107</v>
      </c>
      <c r="N34" s="17">
        <v>-10826</v>
      </c>
      <c r="O34" s="17">
        <f t="shared" si="1"/>
        <v>678281</v>
      </c>
      <c r="P34" s="17">
        <v>658454</v>
      </c>
    </row>
    <row r="35" spans="1:16" s="18" customFormat="1" ht="15" customHeight="1" x14ac:dyDescent="0.35">
      <c r="A35" s="16" t="s">
        <v>701</v>
      </c>
      <c r="B35" s="16" t="s">
        <v>702</v>
      </c>
      <c r="C35" s="16" t="s">
        <v>632</v>
      </c>
      <c r="D35" s="16" t="s">
        <v>686</v>
      </c>
      <c r="E35" s="16" t="s">
        <v>652</v>
      </c>
      <c r="F35" s="16" t="s">
        <v>642</v>
      </c>
      <c r="G35" s="16" t="s">
        <v>502</v>
      </c>
      <c r="H35" s="16" t="s">
        <v>508</v>
      </c>
      <c r="I35" s="16" t="s">
        <v>687</v>
      </c>
      <c r="J35" s="16" t="s">
        <v>439</v>
      </c>
      <c r="K35" s="16" t="s">
        <v>637</v>
      </c>
      <c r="L35" s="16" t="s">
        <v>493</v>
      </c>
      <c r="M35" s="17">
        <v>806117</v>
      </c>
      <c r="N35" s="17">
        <v>-9456</v>
      </c>
      <c r="O35" s="17">
        <f t="shared" si="1"/>
        <v>796661</v>
      </c>
      <c r="P35" s="17">
        <v>290627</v>
      </c>
    </row>
    <row r="36" spans="1:16" s="18" customFormat="1" ht="15" customHeight="1" x14ac:dyDescent="0.35">
      <c r="A36" s="16" t="s">
        <v>703</v>
      </c>
      <c r="B36" s="16" t="s">
        <v>704</v>
      </c>
      <c r="C36" s="16" t="s">
        <v>632</v>
      </c>
      <c r="D36" s="16" t="s">
        <v>686</v>
      </c>
      <c r="E36" s="16" t="s">
        <v>652</v>
      </c>
      <c r="F36" s="16" t="s">
        <v>694</v>
      </c>
      <c r="G36" s="16" t="s">
        <v>387</v>
      </c>
      <c r="H36" s="16" t="s">
        <v>513</v>
      </c>
      <c r="I36" s="16" t="s">
        <v>687</v>
      </c>
      <c r="J36" s="16" t="s">
        <v>439</v>
      </c>
      <c r="K36" s="16" t="s">
        <v>637</v>
      </c>
      <c r="L36" s="16" t="s">
        <v>493</v>
      </c>
      <c r="M36" s="17">
        <v>1110878</v>
      </c>
      <c r="N36" s="17">
        <v>-2284</v>
      </c>
      <c r="O36" s="17">
        <f t="shared" si="1"/>
        <v>1108594</v>
      </c>
      <c r="P36" s="17">
        <v>231541</v>
      </c>
    </row>
    <row r="37" spans="1:16" s="18" customFormat="1" ht="15" customHeight="1" x14ac:dyDescent="0.35">
      <c r="A37" s="16" t="s">
        <v>705</v>
      </c>
      <c r="B37" s="16" t="s">
        <v>706</v>
      </c>
      <c r="C37" s="16" t="s">
        <v>632</v>
      </c>
      <c r="D37" s="16" t="s">
        <v>686</v>
      </c>
      <c r="E37" s="16" t="s">
        <v>663</v>
      </c>
      <c r="F37" s="16" t="s">
        <v>694</v>
      </c>
      <c r="G37" s="16" t="s">
        <v>563</v>
      </c>
      <c r="H37" s="16" t="s">
        <v>476</v>
      </c>
      <c r="I37" s="16" t="s">
        <v>687</v>
      </c>
      <c r="J37" s="16" t="s">
        <v>439</v>
      </c>
      <c r="K37" s="16" t="s">
        <v>637</v>
      </c>
      <c r="L37" s="16" t="s">
        <v>493</v>
      </c>
      <c r="M37" s="17">
        <v>338236</v>
      </c>
      <c r="N37" s="17">
        <v>-740</v>
      </c>
      <c r="O37" s="17">
        <f t="shared" si="1"/>
        <v>337496</v>
      </c>
      <c r="P37" s="17">
        <v>1155705</v>
      </c>
    </row>
    <row r="38" spans="1:16" s="18" customFormat="1" ht="15" customHeight="1" x14ac:dyDescent="0.35">
      <c r="A38" s="16" t="s">
        <v>707</v>
      </c>
      <c r="B38" s="16" t="s">
        <v>708</v>
      </c>
      <c r="C38" s="16" t="s">
        <v>632</v>
      </c>
      <c r="D38" s="16" t="s">
        <v>686</v>
      </c>
      <c r="E38" s="16" t="s">
        <v>634</v>
      </c>
      <c r="F38" s="16" t="s">
        <v>694</v>
      </c>
      <c r="G38" s="16" t="s">
        <v>673</v>
      </c>
      <c r="H38" s="16" t="s">
        <v>381</v>
      </c>
      <c r="I38" s="16" t="s">
        <v>687</v>
      </c>
      <c r="J38" s="16" t="s">
        <v>439</v>
      </c>
      <c r="K38" s="16" t="s">
        <v>674</v>
      </c>
      <c r="L38" s="16" t="s">
        <v>675</v>
      </c>
      <c r="M38" s="17">
        <v>48952</v>
      </c>
      <c r="N38" s="17">
        <v>-78085</v>
      </c>
      <c r="O38" s="17">
        <f t="shared" si="1"/>
        <v>-29133</v>
      </c>
      <c r="P38" s="17">
        <v>70801</v>
      </c>
    </row>
    <row r="39" spans="1:16" s="18" customFormat="1" ht="15" customHeight="1" x14ac:dyDescent="0.35">
      <c r="A39" s="16" t="s">
        <v>709</v>
      </c>
      <c r="B39" s="16" t="s">
        <v>710</v>
      </c>
      <c r="C39" s="16" t="s">
        <v>632</v>
      </c>
      <c r="D39" s="16" t="s">
        <v>686</v>
      </c>
      <c r="E39" s="16" t="s">
        <v>634</v>
      </c>
      <c r="F39" s="16" t="s">
        <v>694</v>
      </c>
      <c r="G39" s="16" t="s">
        <v>678</v>
      </c>
      <c r="H39" s="16" t="s">
        <v>390</v>
      </c>
      <c r="I39" s="16" t="s">
        <v>687</v>
      </c>
      <c r="J39" s="16" t="s">
        <v>439</v>
      </c>
      <c r="K39" s="16" t="s">
        <v>674</v>
      </c>
      <c r="L39" s="16" t="s">
        <v>675</v>
      </c>
      <c r="M39" s="17">
        <v>58601</v>
      </c>
      <c r="N39" s="17">
        <v>-107655</v>
      </c>
      <c r="O39" s="17">
        <f t="shared" si="1"/>
        <v>-49054</v>
      </c>
      <c r="P39" s="17">
        <v>102946</v>
      </c>
    </row>
    <row r="40" spans="1:16" s="18" customFormat="1" ht="15" customHeight="1" x14ac:dyDescent="0.35">
      <c r="A40" s="16" t="s">
        <v>711</v>
      </c>
      <c r="B40" s="16" t="s">
        <v>712</v>
      </c>
      <c r="C40" s="16" t="s">
        <v>632</v>
      </c>
      <c r="D40" s="16" t="s">
        <v>686</v>
      </c>
      <c r="E40" s="16" t="s">
        <v>652</v>
      </c>
      <c r="F40" s="16" t="s">
        <v>694</v>
      </c>
      <c r="G40" s="16" t="s">
        <v>681</v>
      </c>
      <c r="H40" s="16" t="s">
        <v>476</v>
      </c>
      <c r="I40" s="16" t="s">
        <v>687</v>
      </c>
      <c r="J40" s="16" t="s">
        <v>439</v>
      </c>
      <c r="K40" s="16" t="s">
        <v>674</v>
      </c>
      <c r="L40" s="16" t="s">
        <v>675</v>
      </c>
      <c r="M40" s="17">
        <v>54309</v>
      </c>
      <c r="N40" s="17">
        <v>-83334</v>
      </c>
      <c r="O40" s="17">
        <f t="shared" si="1"/>
        <v>-29025</v>
      </c>
      <c r="P40" s="17">
        <v>74121</v>
      </c>
    </row>
    <row r="43" spans="1:16" ht="18" customHeight="1" x14ac:dyDescent="0.35">
      <c r="A43" s="25" t="s">
        <v>909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</row>
    <row r="44" spans="1:16" ht="25.5" customHeight="1" x14ac:dyDescent="0.35">
      <c r="A44" s="1" t="s">
        <v>618</v>
      </c>
      <c r="B44" s="1" t="s">
        <v>619</v>
      </c>
      <c r="C44" s="1" t="s">
        <v>620</v>
      </c>
      <c r="D44" s="1" t="s">
        <v>219</v>
      </c>
      <c r="E44" s="1" t="s">
        <v>621</v>
      </c>
      <c r="F44" s="1" t="s">
        <v>622</v>
      </c>
      <c r="G44" s="1" t="s">
        <v>623</v>
      </c>
      <c r="H44" s="1" t="s">
        <v>427</v>
      </c>
      <c r="I44" s="1" t="s">
        <v>624</v>
      </c>
      <c r="J44" s="1" t="s">
        <v>425</v>
      </c>
      <c r="K44" s="1" t="s">
        <v>625</v>
      </c>
      <c r="L44" s="1" t="s">
        <v>626</v>
      </c>
      <c r="M44" s="1" t="s">
        <v>627</v>
      </c>
      <c r="N44" s="1" t="s">
        <v>434</v>
      </c>
      <c r="O44" s="1" t="s">
        <v>628</v>
      </c>
      <c r="P44" s="1" t="s">
        <v>629</v>
      </c>
    </row>
    <row r="45" spans="1:16" s="18" customFormat="1" ht="15" customHeight="1" x14ac:dyDescent="0.35">
      <c r="A45" s="16" t="s">
        <v>713</v>
      </c>
      <c r="B45" s="16" t="s">
        <v>714</v>
      </c>
      <c r="C45" s="16" t="s">
        <v>632</v>
      </c>
      <c r="D45" s="16" t="s">
        <v>715</v>
      </c>
      <c r="E45" s="16" t="s">
        <v>716</v>
      </c>
      <c r="F45" s="16" t="s">
        <v>635</v>
      </c>
      <c r="G45" s="16" t="s">
        <v>563</v>
      </c>
      <c r="H45" s="16" t="s">
        <v>476</v>
      </c>
      <c r="I45" s="16" t="s">
        <v>717</v>
      </c>
      <c r="J45" s="16" t="s">
        <v>439</v>
      </c>
      <c r="K45" s="16" t="s">
        <v>637</v>
      </c>
      <c r="L45" s="16" t="s">
        <v>638</v>
      </c>
      <c r="M45" s="17">
        <v>1685262</v>
      </c>
      <c r="N45" s="17">
        <v>-3800</v>
      </c>
      <c r="O45" s="17">
        <f t="shared" ref="O45:O55" si="2">M45+N45</f>
        <v>1681462</v>
      </c>
      <c r="P45" s="17">
        <v>1048104</v>
      </c>
    </row>
    <row r="46" spans="1:16" s="18" customFormat="1" ht="15" customHeight="1" x14ac:dyDescent="0.35">
      <c r="A46" s="16" t="s">
        <v>718</v>
      </c>
      <c r="B46" s="16" t="s">
        <v>719</v>
      </c>
      <c r="C46" s="16" t="s">
        <v>632</v>
      </c>
      <c r="D46" s="16" t="s">
        <v>715</v>
      </c>
      <c r="E46" s="16" t="s">
        <v>59</v>
      </c>
      <c r="F46" s="16" t="s">
        <v>642</v>
      </c>
      <c r="G46" s="16" t="s">
        <v>568</v>
      </c>
      <c r="H46" s="16" t="s">
        <v>564</v>
      </c>
      <c r="I46" s="16" t="s">
        <v>717</v>
      </c>
      <c r="J46" s="16" t="s">
        <v>439</v>
      </c>
      <c r="K46" s="16" t="s">
        <v>637</v>
      </c>
      <c r="L46" s="16" t="s">
        <v>493</v>
      </c>
      <c r="M46" s="17">
        <v>1854896</v>
      </c>
      <c r="N46" s="17">
        <v>-5386</v>
      </c>
      <c r="O46" s="17">
        <f t="shared" si="2"/>
        <v>1849510</v>
      </c>
      <c r="P46" s="17">
        <v>946938</v>
      </c>
    </row>
    <row r="47" spans="1:16" s="18" customFormat="1" ht="15" customHeight="1" x14ac:dyDescent="0.35">
      <c r="A47" s="16" t="s">
        <v>720</v>
      </c>
      <c r="B47" s="16" t="s">
        <v>721</v>
      </c>
      <c r="C47" s="16" t="s">
        <v>632</v>
      </c>
      <c r="D47" s="16" t="s">
        <v>715</v>
      </c>
      <c r="E47" s="16" t="s">
        <v>652</v>
      </c>
      <c r="F47" s="16" t="s">
        <v>635</v>
      </c>
      <c r="G47" s="16" t="s">
        <v>572</v>
      </c>
      <c r="H47" s="16" t="s">
        <v>527</v>
      </c>
      <c r="I47" s="16" t="s">
        <v>717</v>
      </c>
      <c r="J47" s="16" t="s">
        <v>439</v>
      </c>
      <c r="K47" s="16" t="s">
        <v>637</v>
      </c>
      <c r="L47" s="16" t="s">
        <v>493</v>
      </c>
      <c r="M47" s="17">
        <v>1634985</v>
      </c>
      <c r="N47" s="17">
        <v>-876</v>
      </c>
      <c r="O47" s="17">
        <f t="shared" si="2"/>
        <v>1634109</v>
      </c>
      <c r="P47" s="17">
        <v>623756</v>
      </c>
    </row>
    <row r="48" spans="1:16" s="18" customFormat="1" ht="15" customHeight="1" x14ac:dyDescent="0.35">
      <c r="A48" s="16" t="s">
        <v>722</v>
      </c>
      <c r="B48" s="16" t="s">
        <v>723</v>
      </c>
      <c r="C48" s="16" t="s">
        <v>632</v>
      </c>
      <c r="D48" s="16" t="s">
        <v>715</v>
      </c>
      <c r="E48" s="16" t="s">
        <v>652</v>
      </c>
      <c r="F48" s="16" t="s">
        <v>694</v>
      </c>
      <c r="G48" s="16" t="s">
        <v>526</v>
      </c>
      <c r="H48" s="16" t="s">
        <v>520</v>
      </c>
      <c r="I48" s="16" t="s">
        <v>717</v>
      </c>
      <c r="J48" s="16" t="s">
        <v>439</v>
      </c>
      <c r="K48" s="16" t="s">
        <v>637</v>
      </c>
      <c r="L48" s="16" t="s">
        <v>493</v>
      </c>
      <c r="M48" s="17">
        <v>1694293</v>
      </c>
      <c r="N48" s="17">
        <v>-1244</v>
      </c>
      <c r="O48" s="17">
        <f t="shared" si="2"/>
        <v>1693049</v>
      </c>
      <c r="P48" s="17">
        <v>2263517</v>
      </c>
    </row>
    <row r="49" spans="1:16" s="18" customFormat="1" ht="15" customHeight="1" x14ac:dyDescent="0.35">
      <c r="A49" s="16" t="s">
        <v>724</v>
      </c>
      <c r="B49" s="16" t="s">
        <v>725</v>
      </c>
      <c r="C49" s="16" t="s">
        <v>632</v>
      </c>
      <c r="D49" s="16" t="s">
        <v>715</v>
      </c>
      <c r="E49" s="16" t="s">
        <v>59</v>
      </c>
      <c r="F49" s="16" t="s">
        <v>694</v>
      </c>
      <c r="G49" s="16" t="s">
        <v>531</v>
      </c>
      <c r="H49" s="16" t="s">
        <v>490</v>
      </c>
      <c r="I49" s="16" t="s">
        <v>717</v>
      </c>
      <c r="J49" s="16" t="s">
        <v>439</v>
      </c>
      <c r="K49" s="16" t="s">
        <v>637</v>
      </c>
      <c r="L49" s="16" t="s">
        <v>493</v>
      </c>
      <c r="M49" s="17">
        <v>1911925</v>
      </c>
      <c r="N49" s="17">
        <v>-733</v>
      </c>
      <c r="O49" s="17">
        <f t="shared" si="2"/>
        <v>1911192</v>
      </c>
      <c r="P49" s="17">
        <v>1028620</v>
      </c>
    </row>
    <row r="50" spans="1:16" s="18" customFormat="1" ht="15" customHeight="1" x14ac:dyDescent="0.35">
      <c r="A50" s="16" t="s">
        <v>726</v>
      </c>
      <c r="B50" s="16" t="s">
        <v>727</v>
      </c>
      <c r="C50" s="16" t="s">
        <v>632</v>
      </c>
      <c r="D50" s="16" t="s">
        <v>715</v>
      </c>
      <c r="E50" s="16" t="s">
        <v>652</v>
      </c>
      <c r="F50" s="16" t="s">
        <v>642</v>
      </c>
      <c r="G50" s="16" t="s">
        <v>489</v>
      </c>
      <c r="H50" s="16" t="s">
        <v>497</v>
      </c>
      <c r="I50" s="16" t="s">
        <v>717</v>
      </c>
      <c r="J50" s="16" t="s">
        <v>439</v>
      </c>
      <c r="K50" s="16" t="s">
        <v>637</v>
      </c>
      <c r="L50" s="16" t="s">
        <v>493</v>
      </c>
      <c r="M50" s="17">
        <v>1525659</v>
      </c>
      <c r="N50" s="17">
        <v>-8871</v>
      </c>
      <c r="O50" s="17">
        <f t="shared" si="2"/>
        <v>1516788</v>
      </c>
      <c r="P50" s="17">
        <v>1047441</v>
      </c>
    </row>
    <row r="51" spans="1:16" s="18" customFormat="1" ht="15" customHeight="1" x14ac:dyDescent="0.35">
      <c r="A51" s="16" t="s">
        <v>728</v>
      </c>
      <c r="B51" s="16" t="s">
        <v>729</v>
      </c>
      <c r="C51" s="16" t="s">
        <v>632</v>
      </c>
      <c r="D51" s="16" t="s">
        <v>715</v>
      </c>
      <c r="E51" s="16" t="s">
        <v>716</v>
      </c>
      <c r="F51" s="16" t="s">
        <v>642</v>
      </c>
      <c r="G51" s="16" t="s">
        <v>496</v>
      </c>
      <c r="H51" s="16" t="s">
        <v>503</v>
      </c>
      <c r="I51" s="16" t="s">
        <v>717</v>
      </c>
      <c r="J51" s="16" t="s">
        <v>439</v>
      </c>
      <c r="K51" s="16" t="s">
        <v>637</v>
      </c>
      <c r="L51" s="16" t="s">
        <v>493</v>
      </c>
      <c r="M51" s="17">
        <v>1790189</v>
      </c>
      <c r="N51" s="17">
        <v>-1044</v>
      </c>
      <c r="O51" s="17">
        <f t="shared" si="2"/>
        <v>1789145</v>
      </c>
      <c r="P51" s="17">
        <v>2447119</v>
      </c>
    </row>
    <row r="52" spans="1:16" s="18" customFormat="1" ht="15" customHeight="1" x14ac:dyDescent="0.35">
      <c r="A52" s="16" t="s">
        <v>730</v>
      </c>
      <c r="B52" s="16" t="s">
        <v>731</v>
      </c>
      <c r="C52" s="16" t="s">
        <v>632</v>
      </c>
      <c r="D52" s="16" t="s">
        <v>715</v>
      </c>
      <c r="E52" s="16" t="s">
        <v>652</v>
      </c>
      <c r="F52" s="16" t="s">
        <v>642</v>
      </c>
      <c r="G52" s="16" t="s">
        <v>502</v>
      </c>
      <c r="H52" s="16" t="s">
        <v>508</v>
      </c>
      <c r="I52" s="16" t="s">
        <v>717</v>
      </c>
      <c r="J52" s="16" t="s">
        <v>439</v>
      </c>
      <c r="K52" s="16" t="s">
        <v>637</v>
      </c>
      <c r="L52" s="16" t="s">
        <v>493</v>
      </c>
      <c r="M52" s="17">
        <v>702740</v>
      </c>
      <c r="N52" s="17">
        <v>-1114</v>
      </c>
      <c r="O52" s="17">
        <f t="shared" si="2"/>
        <v>701626</v>
      </c>
      <c r="P52" s="17">
        <v>1338940</v>
      </c>
    </row>
    <row r="53" spans="1:16" s="18" customFormat="1" ht="15" customHeight="1" x14ac:dyDescent="0.35">
      <c r="A53" s="16" t="s">
        <v>732</v>
      </c>
      <c r="B53" s="16" t="s">
        <v>733</v>
      </c>
      <c r="C53" s="16" t="s">
        <v>632</v>
      </c>
      <c r="D53" s="16" t="s">
        <v>715</v>
      </c>
      <c r="E53" s="16" t="s">
        <v>716</v>
      </c>
      <c r="F53" s="16" t="s">
        <v>642</v>
      </c>
      <c r="G53" s="16" t="s">
        <v>387</v>
      </c>
      <c r="H53" s="16" t="s">
        <v>513</v>
      </c>
      <c r="I53" s="16" t="s">
        <v>717</v>
      </c>
      <c r="J53" s="16" t="s">
        <v>439</v>
      </c>
      <c r="K53" s="16" t="s">
        <v>637</v>
      </c>
      <c r="L53" s="16" t="s">
        <v>493</v>
      </c>
      <c r="M53" s="17">
        <v>1563081</v>
      </c>
      <c r="N53" s="17">
        <v>-8401</v>
      </c>
      <c r="O53" s="17">
        <f t="shared" si="2"/>
        <v>1554680</v>
      </c>
      <c r="P53" s="17">
        <v>1511907</v>
      </c>
    </row>
    <row r="54" spans="1:16" s="18" customFormat="1" ht="15" customHeight="1" x14ac:dyDescent="0.35">
      <c r="A54" s="16" t="s">
        <v>734</v>
      </c>
      <c r="B54" s="16" t="s">
        <v>735</v>
      </c>
      <c r="C54" s="16" t="s">
        <v>632</v>
      </c>
      <c r="D54" s="16" t="s">
        <v>715</v>
      </c>
      <c r="E54" s="16" t="s">
        <v>716</v>
      </c>
      <c r="F54" s="16" t="s">
        <v>642</v>
      </c>
      <c r="G54" s="16" t="s">
        <v>673</v>
      </c>
      <c r="H54" s="16" t="s">
        <v>381</v>
      </c>
      <c r="I54" s="16" t="s">
        <v>717</v>
      </c>
      <c r="J54" s="16" t="s">
        <v>439</v>
      </c>
      <c r="K54" s="16" t="s">
        <v>674</v>
      </c>
      <c r="L54" s="16" t="s">
        <v>675</v>
      </c>
      <c r="M54" s="17">
        <v>38018</v>
      </c>
      <c r="N54" s="17">
        <v>-68103</v>
      </c>
      <c r="O54" s="17">
        <f t="shared" si="2"/>
        <v>-30085</v>
      </c>
      <c r="P54" s="17">
        <v>22333</v>
      </c>
    </row>
    <row r="55" spans="1:16" s="18" customFormat="1" ht="15" customHeight="1" x14ac:dyDescent="0.35">
      <c r="A55" s="16" t="s">
        <v>736</v>
      </c>
      <c r="B55" s="16" t="s">
        <v>737</v>
      </c>
      <c r="C55" s="16" t="s">
        <v>632</v>
      </c>
      <c r="D55" s="16" t="s">
        <v>715</v>
      </c>
      <c r="E55" s="16" t="s">
        <v>716</v>
      </c>
      <c r="F55" s="16" t="s">
        <v>694</v>
      </c>
      <c r="G55" s="16" t="s">
        <v>678</v>
      </c>
      <c r="H55" s="16" t="s">
        <v>390</v>
      </c>
      <c r="I55" s="16" t="s">
        <v>717</v>
      </c>
      <c r="J55" s="16" t="s">
        <v>439</v>
      </c>
      <c r="K55" s="16" t="s">
        <v>674</v>
      </c>
      <c r="L55" s="16" t="s">
        <v>675</v>
      </c>
      <c r="M55" s="17">
        <v>35722</v>
      </c>
      <c r="N55" s="17">
        <v>-57775</v>
      </c>
      <c r="O55" s="17">
        <f t="shared" si="2"/>
        <v>-22053</v>
      </c>
      <c r="P55" s="17">
        <v>43365</v>
      </c>
    </row>
    <row r="58" spans="1:16" ht="18" customHeight="1" x14ac:dyDescent="0.35">
      <c r="A58" s="25" t="s">
        <v>910</v>
      </c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</row>
    <row r="59" spans="1:16" ht="25.5" customHeight="1" x14ac:dyDescent="0.35">
      <c r="A59" s="1" t="s">
        <v>618</v>
      </c>
      <c r="B59" s="1" t="s">
        <v>619</v>
      </c>
      <c r="C59" s="1" t="s">
        <v>620</v>
      </c>
      <c r="D59" s="1" t="s">
        <v>219</v>
      </c>
      <c r="E59" s="1" t="s">
        <v>621</v>
      </c>
      <c r="F59" s="1" t="s">
        <v>622</v>
      </c>
      <c r="G59" s="1" t="s">
        <v>623</v>
      </c>
      <c r="H59" s="1" t="s">
        <v>427</v>
      </c>
      <c r="I59" s="1" t="s">
        <v>624</v>
      </c>
      <c r="J59" s="1" t="s">
        <v>425</v>
      </c>
      <c r="K59" s="1" t="s">
        <v>625</v>
      </c>
      <c r="L59" s="1" t="s">
        <v>626</v>
      </c>
      <c r="M59" s="1" t="s">
        <v>627</v>
      </c>
      <c r="N59" s="1" t="s">
        <v>434</v>
      </c>
      <c r="O59" s="1" t="s">
        <v>628</v>
      </c>
      <c r="P59" s="1" t="s">
        <v>629</v>
      </c>
    </row>
    <row r="60" spans="1:16" s="18" customFormat="1" ht="15" customHeight="1" x14ac:dyDescent="0.35">
      <c r="A60" s="16" t="s">
        <v>738</v>
      </c>
      <c r="B60" s="16" t="s">
        <v>739</v>
      </c>
      <c r="C60" s="16" t="s">
        <v>740</v>
      </c>
      <c r="D60" s="16" t="s">
        <v>741</v>
      </c>
      <c r="E60" s="16" t="s">
        <v>742</v>
      </c>
      <c r="F60" s="16" t="s">
        <v>635</v>
      </c>
      <c r="G60" s="16" t="s">
        <v>563</v>
      </c>
      <c r="H60" s="16" t="s">
        <v>476</v>
      </c>
      <c r="I60" s="16" t="s">
        <v>743</v>
      </c>
      <c r="J60" s="16" t="s">
        <v>439</v>
      </c>
      <c r="K60" s="16" t="s">
        <v>637</v>
      </c>
      <c r="L60" s="16" t="s">
        <v>638</v>
      </c>
      <c r="M60" s="17">
        <v>1529775</v>
      </c>
      <c r="N60" s="17">
        <v>-2972</v>
      </c>
      <c r="O60" s="17">
        <f t="shared" ref="O60:O74" si="3">M60+N60</f>
        <v>1526803</v>
      </c>
      <c r="P60" s="17">
        <v>1112617</v>
      </c>
    </row>
    <row r="61" spans="1:16" s="18" customFormat="1" ht="15" customHeight="1" x14ac:dyDescent="0.35">
      <c r="A61" s="16" t="s">
        <v>744</v>
      </c>
      <c r="B61" s="16" t="s">
        <v>745</v>
      </c>
      <c r="C61" s="16" t="s">
        <v>740</v>
      </c>
      <c r="D61" s="16" t="s">
        <v>741</v>
      </c>
      <c r="E61" s="16" t="s">
        <v>742</v>
      </c>
      <c r="F61" s="16" t="s">
        <v>694</v>
      </c>
      <c r="G61" s="16" t="s">
        <v>568</v>
      </c>
      <c r="H61" s="16" t="s">
        <v>564</v>
      </c>
      <c r="I61" s="16" t="s">
        <v>743</v>
      </c>
      <c r="J61" s="16" t="s">
        <v>439</v>
      </c>
      <c r="K61" s="16" t="s">
        <v>637</v>
      </c>
      <c r="L61" s="16" t="s">
        <v>493</v>
      </c>
      <c r="M61" s="17">
        <v>697031</v>
      </c>
      <c r="N61" s="17">
        <v>-2997</v>
      </c>
      <c r="O61" s="17">
        <f t="shared" si="3"/>
        <v>694034</v>
      </c>
      <c r="P61" s="17">
        <v>1120651</v>
      </c>
    </row>
    <row r="62" spans="1:16" s="18" customFormat="1" ht="15" customHeight="1" x14ac:dyDescent="0.35">
      <c r="A62" s="16" t="s">
        <v>746</v>
      </c>
      <c r="B62" s="16" t="s">
        <v>747</v>
      </c>
      <c r="C62" s="16" t="s">
        <v>740</v>
      </c>
      <c r="D62" s="16" t="s">
        <v>741</v>
      </c>
      <c r="E62" s="16" t="s">
        <v>742</v>
      </c>
      <c r="F62" s="16" t="s">
        <v>694</v>
      </c>
      <c r="G62" s="16" t="s">
        <v>572</v>
      </c>
      <c r="H62" s="16" t="s">
        <v>527</v>
      </c>
      <c r="I62" s="16" t="s">
        <v>743</v>
      </c>
      <c r="J62" s="16" t="s">
        <v>439</v>
      </c>
      <c r="K62" s="16" t="s">
        <v>637</v>
      </c>
      <c r="L62" s="16" t="s">
        <v>493</v>
      </c>
      <c r="M62" s="17">
        <v>421740</v>
      </c>
      <c r="N62" s="17">
        <v>-452</v>
      </c>
      <c r="O62" s="17">
        <f t="shared" si="3"/>
        <v>421288</v>
      </c>
      <c r="P62" s="17">
        <v>317417</v>
      </c>
    </row>
    <row r="63" spans="1:16" s="18" customFormat="1" ht="15" customHeight="1" x14ac:dyDescent="0.35">
      <c r="A63" s="16" t="s">
        <v>748</v>
      </c>
      <c r="B63" s="16" t="s">
        <v>749</v>
      </c>
      <c r="C63" s="16" t="s">
        <v>740</v>
      </c>
      <c r="D63" s="16" t="s">
        <v>741</v>
      </c>
      <c r="E63" s="16" t="s">
        <v>742</v>
      </c>
      <c r="F63" s="16" t="s">
        <v>694</v>
      </c>
      <c r="G63" s="16" t="s">
        <v>526</v>
      </c>
      <c r="H63" s="16" t="s">
        <v>520</v>
      </c>
      <c r="I63" s="16" t="s">
        <v>743</v>
      </c>
      <c r="J63" s="16" t="s">
        <v>439</v>
      </c>
      <c r="K63" s="16" t="s">
        <v>637</v>
      </c>
      <c r="L63" s="16" t="s">
        <v>493</v>
      </c>
      <c r="M63" s="17">
        <v>961227</v>
      </c>
      <c r="N63" s="17">
        <v>-4083</v>
      </c>
      <c r="O63" s="17">
        <f t="shared" si="3"/>
        <v>957144</v>
      </c>
      <c r="P63" s="17">
        <v>466357</v>
      </c>
    </row>
    <row r="64" spans="1:16" s="18" customFormat="1" ht="15" customHeight="1" x14ac:dyDescent="0.35">
      <c r="A64" s="16" t="s">
        <v>750</v>
      </c>
      <c r="B64" s="16" t="s">
        <v>751</v>
      </c>
      <c r="C64" s="16" t="s">
        <v>740</v>
      </c>
      <c r="D64" s="16" t="s">
        <v>741</v>
      </c>
      <c r="E64" s="16" t="s">
        <v>742</v>
      </c>
      <c r="F64" s="16" t="s">
        <v>635</v>
      </c>
      <c r="G64" s="16" t="s">
        <v>531</v>
      </c>
      <c r="H64" s="16" t="s">
        <v>490</v>
      </c>
      <c r="I64" s="16" t="s">
        <v>743</v>
      </c>
      <c r="J64" s="16" t="s">
        <v>439</v>
      </c>
      <c r="K64" s="16" t="s">
        <v>637</v>
      </c>
      <c r="L64" s="16" t="s">
        <v>493</v>
      </c>
      <c r="M64" s="17">
        <v>1751717</v>
      </c>
      <c r="N64" s="17">
        <v>-673</v>
      </c>
      <c r="O64" s="17">
        <f t="shared" si="3"/>
        <v>1751044</v>
      </c>
      <c r="P64" s="17">
        <v>1525150</v>
      </c>
    </row>
    <row r="65" spans="1:16" s="18" customFormat="1" ht="15" customHeight="1" x14ac:dyDescent="0.35">
      <c r="A65" s="16" t="s">
        <v>752</v>
      </c>
      <c r="B65" s="16" t="s">
        <v>753</v>
      </c>
      <c r="C65" s="16" t="s">
        <v>740</v>
      </c>
      <c r="D65" s="16" t="s">
        <v>741</v>
      </c>
      <c r="E65" s="16" t="s">
        <v>742</v>
      </c>
      <c r="F65" s="16" t="s">
        <v>694</v>
      </c>
      <c r="G65" s="16" t="s">
        <v>489</v>
      </c>
      <c r="H65" s="16" t="s">
        <v>497</v>
      </c>
      <c r="I65" s="16" t="s">
        <v>743</v>
      </c>
      <c r="J65" s="16" t="s">
        <v>439</v>
      </c>
      <c r="K65" s="16" t="s">
        <v>637</v>
      </c>
      <c r="L65" s="16" t="s">
        <v>493</v>
      </c>
      <c r="M65" s="17">
        <v>545310</v>
      </c>
      <c r="N65" s="17">
        <v>-1348</v>
      </c>
      <c r="O65" s="17">
        <f t="shared" si="3"/>
        <v>543962</v>
      </c>
      <c r="P65" s="17">
        <v>523452</v>
      </c>
    </row>
    <row r="66" spans="1:16" s="18" customFormat="1" ht="15" customHeight="1" x14ac:dyDescent="0.35">
      <c r="A66" s="16" t="s">
        <v>754</v>
      </c>
      <c r="B66" s="16" t="s">
        <v>755</v>
      </c>
      <c r="C66" s="16" t="s">
        <v>740</v>
      </c>
      <c r="D66" s="16" t="s">
        <v>741</v>
      </c>
      <c r="E66" s="16" t="s">
        <v>742</v>
      </c>
      <c r="F66" s="16" t="s">
        <v>694</v>
      </c>
      <c r="G66" s="16" t="s">
        <v>496</v>
      </c>
      <c r="H66" s="16" t="s">
        <v>503</v>
      </c>
      <c r="I66" s="16" t="s">
        <v>743</v>
      </c>
      <c r="J66" s="16" t="s">
        <v>439</v>
      </c>
      <c r="K66" s="16" t="s">
        <v>637</v>
      </c>
      <c r="L66" s="16" t="s">
        <v>493</v>
      </c>
      <c r="M66" s="17">
        <v>1133372</v>
      </c>
      <c r="N66" s="17">
        <v>-1957</v>
      </c>
      <c r="O66" s="17">
        <f t="shared" si="3"/>
        <v>1131415</v>
      </c>
      <c r="P66" s="17">
        <v>1160111</v>
      </c>
    </row>
    <row r="67" spans="1:16" s="18" customFormat="1" ht="15" customHeight="1" x14ac:dyDescent="0.35">
      <c r="A67" s="16" t="s">
        <v>756</v>
      </c>
      <c r="B67" s="16" t="s">
        <v>757</v>
      </c>
      <c r="C67" s="16" t="s">
        <v>740</v>
      </c>
      <c r="D67" s="16" t="s">
        <v>741</v>
      </c>
      <c r="E67" s="16" t="s">
        <v>742</v>
      </c>
      <c r="F67" s="16" t="s">
        <v>694</v>
      </c>
      <c r="G67" s="16" t="s">
        <v>502</v>
      </c>
      <c r="H67" s="16" t="s">
        <v>508</v>
      </c>
      <c r="I67" s="16" t="s">
        <v>743</v>
      </c>
      <c r="J67" s="16" t="s">
        <v>439</v>
      </c>
      <c r="K67" s="16" t="s">
        <v>637</v>
      </c>
      <c r="L67" s="16" t="s">
        <v>493</v>
      </c>
      <c r="M67" s="17">
        <v>1104812</v>
      </c>
      <c r="N67" s="17">
        <v>-4669</v>
      </c>
      <c r="O67" s="17">
        <f t="shared" si="3"/>
        <v>1100143</v>
      </c>
      <c r="P67" s="17">
        <v>843265</v>
      </c>
    </row>
    <row r="68" spans="1:16" s="18" customFormat="1" ht="15" customHeight="1" x14ac:dyDescent="0.35">
      <c r="A68" s="16" t="s">
        <v>758</v>
      </c>
      <c r="B68" s="16" t="s">
        <v>759</v>
      </c>
      <c r="C68" s="16" t="s">
        <v>740</v>
      </c>
      <c r="D68" s="16" t="s">
        <v>741</v>
      </c>
      <c r="E68" s="16" t="s">
        <v>742</v>
      </c>
      <c r="F68" s="16" t="s">
        <v>694</v>
      </c>
      <c r="G68" s="16" t="s">
        <v>387</v>
      </c>
      <c r="H68" s="16" t="s">
        <v>513</v>
      </c>
      <c r="I68" s="16" t="s">
        <v>743</v>
      </c>
      <c r="J68" s="16" t="s">
        <v>439</v>
      </c>
      <c r="K68" s="16" t="s">
        <v>637</v>
      </c>
      <c r="L68" s="16" t="s">
        <v>493</v>
      </c>
      <c r="M68" s="17">
        <v>652236</v>
      </c>
      <c r="N68" s="17">
        <v>-959</v>
      </c>
      <c r="O68" s="17">
        <f t="shared" si="3"/>
        <v>651277</v>
      </c>
      <c r="P68" s="17">
        <v>1520197</v>
      </c>
    </row>
    <row r="69" spans="1:16" s="18" customFormat="1" ht="15" customHeight="1" x14ac:dyDescent="0.35">
      <c r="A69" s="16" t="s">
        <v>760</v>
      </c>
      <c r="B69" s="16" t="s">
        <v>761</v>
      </c>
      <c r="C69" s="16" t="s">
        <v>740</v>
      </c>
      <c r="D69" s="16" t="s">
        <v>741</v>
      </c>
      <c r="E69" s="16" t="s">
        <v>742</v>
      </c>
      <c r="F69" s="16" t="s">
        <v>635</v>
      </c>
      <c r="G69" s="16" t="s">
        <v>563</v>
      </c>
      <c r="H69" s="16" t="s">
        <v>476</v>
      </c>
      <c r="I69" s="16" t="s">
        <v>743</v>
      </c>
      <c r="J69" s="16" t="s">
        <v>439</v>
      </c>
      <c r="K69" s="16" t="s">
        <v>637</v>
      </c>
      <c r="L69" s="16" t="s">
        <v>493</v>
      </c>
      <c r="M69" s="17">
        <v>792298</v>
      </c>
      <c r="N69" s="17">
        <v>-514</v>
      </c>
      <c r="O69" s="17">
        <f t="shared" si="3"/>
        <v>791784</v>
      </c>
      <c r="P69" s="17">
        <v>1162840</v>
      </c>
    </row>
    <row r="70" spans="1:16" s="18" customFormat="1" ht="15" customHeight="1" x14ac:dyDescent="0.35">
      <c r="A70" s="16" t="s">
        <v>762</v>
      </c>
      <c r="B70" s="16" t="s">
        <v>763</v>
      </c>
      <c r="C70" s="16" t="s">
        <v>740</v>
      </c>
      <c r="D70" s="16" t="s">
        <v>741</v>
      </c>
      <c r="E70" s="16" t="s">
        <v>742</v>
      </c>
      <c r="F70" s="16" t="s">
        <v>694</v>
      </c>
      <c r="G70" s="16" t="s">
        <v>568</v>
      </c>
      <c r="H70" s="16" t="s">
        <v>564</v>
      </c>
      <c r="I70" s="16" t="s">
        <v>743</v>
      </c>
      <c r="J70" s="16" t="s">
        <v>439</v>
      </c>
      <c r="K70" s="16" t="s">
        <v>637</v>
      </c>
      <c r="L70" s="16" t="s">
        <v>493</v>
      </c>
      <c r="M70" s="17">
        <v>772910</v>
      </c>
      <c r="N70" s="17">
        <v>-922</v>
      </c>
      <c r="O70" s="17">
        <f t="shared" si="3"/>
        <v>771988</v>
      </c>
      <c r="P70" s="17">
        <v>703651</v>
      </c>
    </row>
    <row r="71" spans="1:16" s="18" customFormat="1" ht="15" customHeight="1" x14ac:dyDescent="0.35">
      <c r="A71" s="16" t="s">
        <v>764</v>
      </c>
      <c r="B71" s="16" t="s">
        <v>765</v>
      </c>
      <c r="C71" s="16" t="s">
        <v>740</v>
      </c>
      <c r="D71" s="16" t="s">
        <v>741</v>
      </c>
      <c r="E71" s="16" t="s">
        <v>742</v>
      </c>
      <c r="F71" s="16" t="s">
        <v>635</v>
      </c>
      <c r="G71" s="16" t="s">
        <v>572</v>
      </c>
      <c r="H71" s="16" t="s">
        <v>527</v>
      </c>
      <c r="I71" s="16" t="s">
        <v>743</v>
      </c>
      <c r="J71" s="16" t="s">
        <v>439</v>
      </c>
      <c r="K71" s="16" t="s">
        <v>637</v>
      </c>
      <c r="L71" s="16" t="s">
        <v>493</v>
      </c>
      <c r="M71" s="17">
        <v>1414396</v>
      </c>
      <c r="N71" s="17">
        <v>-1615</v>
      </c>
      <c r="O71" s="17">
        <f t="shared" si="3"/>
        <v>1412781</v>
      </c>
      <c r="P71" s="17">
        <v>473594</v>
      </c>
    </row>
    <row r="72" spans="1:16" s="18" customFormat="1" ht="15" customHeight="1" x14ac:dyDescent="0.35">
      <c r="A72" s="16" t="s">
        <v>766</v>
      </c>
      <c r="B72" s="16" t="s">
        <v>767</v>
      </c>
      <c r="C72" s="16" t="s">
        <v>740</v>
      </c>
      <c r="D72" s="16" t="s">
        <v>741</v>
      </c>
      <c r="E72" s="16" t="s">
        <v>742</v>
      </c>
      <c r="F72" s="16" t="s">
        <v>635</v>
      </c>
      <c r="G72" s="16" t="s">
        <v>673</v>
      </c>
      <c r="H72" s="16" t="s">
        <v>381</v>
      </c>
      <c r="I72" s="16" t="s">
        <v>743</v>
      </c>
      <c r="J72" s="16" t="s">
        <v>439</v>
      </c>
      <c r="K72" s="16" t="s">
        <v>674</v>
      </c>
      <c r="L72" s="16" t="s">
        <v>675</v>
      </c>
      <c r="M72" s="17">
        <v>13938</v>
      </c>
      <c r="N72" s="17">
        <v>-19615</v>
      </c>
      <c r="O72" s="17">
        <f t="shared" si="3"/>
        <v>-5677</v>
      </c>
      <c r="P72" s="17">
        <v>25906</v>
      </c>
    </row>
    <row r="73" spans="1:16" s="18" customFormat="1" ht="15" customHeight="1" x14ac:dyDescent="0.35">
      <c r="A73" s="16" t="s">
        <v>768</v>
      </c>
      <c r="B73" s="16" t="s">
        <v>769</v>
      </c>
      <c r="C73" s="16" t="s">
        <v>740</v>
      </c>
      <c r="D73" s="16" t="s">
        <v>741</v>
      </c>
      <c r="E73" s="16" t="s">
        <v>742</v>
      </c>
      <c r="F73" s="16" t="s">
        <v>635</v>
      </c>
      <c r="G73" s="16" t="s">
        <v>678</v>
      </c>
      <c r="H73" s="16" t="s">
        <v>390</v>
      </c>
      <c r="I73" s="16" t="s">
        <v>743</v>
      </c>
      <c r="J73" s="16" t="s">
        <v>439</v>
      </c>
      <c r="K73" s="16" t="s">
        <v>674</v>
      </c>
      <c r="L73" s="16" t="s">
        <v>675</v>
      </c>
      <c r="M73" s="17">
        <v>21179</v>
      </c>
      <c r="N73" s="17">
        <v>-53901</v>
      </c>
      <c r="O73" s="17">
        <f t="shared" si="3"/>
        <v>-32722</v>
      </c>
      <c r="P73" s="17">
        <v>20546</v>
      </c>
    </row>
    <row r="74" spans="1:16" s="18" customFormat="1" ht="15" customHeight="1" x14ac:dyDescent="0.35">
      <c r="A74" s="16" t="s">
        <v>770</v>
      </c>
      <c r="B74" s="16" t="s">
        <v>771</v>
      </c>
      <c r="C74" s="16" t="s">
        <v>740</v>
      </c>
      <c r="D74" s="16" t="s">
        <v>741</v>
      </c>
      <c r="E74" s="16" t="s">
        <v>742</v>
      </c>
      <c r="F74" s="16" t="s">
        <v>694</v>
      </c>
      <c r="G74" s="16" t="s">
        <v>681</v>
      </c>
      <c r="H74" s="16" t="s">
        <v>476</v>
      </c>
      <c r="I74" s="16" t="s">
        <v>743</v>
      </c>
      <c r="J74" s="16" t="s">
        <v>439</v>
      </c>
      <c r="K74" s="16" t="s">
        <v>674</v>
      </c>
      <c r="L74" s="16" t="s">
        <v>675</v>
      </c>
      <c r="M74" s="17">
        <v>11471</v>
      </c>
      <c r="N74" s="17">
        <v>-19127</v>
      </c>
      <c r="O74" s="17">
        <f t="shared" si="3"/>
        <v>-7656</v>
      </c>
      <c r="P74" s="17">
        <v>13682</v>
      </c>
    </row>
    <row r="77" spans="1:16" ht="18" customHeight="1" x14ac:dyDescent="0.35">
      <c r="A77" s="25" t="s">
        <v>911</v>
      </c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</row>
    <row r="78" spans="1:16" ht="25.5" customHeight="1" x14ac:dyDescent="0.35">
      <c r="A78" s="1" t="s">
        <v>618</v>
      </c>
      <c r="B78" s="1" t="s">
        <v>619</v>
      </c>
      <c r="C78" s="1" t="s">
        <v>620</v>
      </c>
      <c r="D78" s="1" t="s">
        <v>219</v>
      </c>
      <c r="E78" s="1" t="s">
        <v>621</v>
      </c>
      <c r="F78" s="1" t="s">
        <v>622</v>
      </c>
      <c r="G78" s="1" t="s">
        <v>623</v>
      </c>
      <c r="H78" s="1" t="s">
        <v>427</v>
      </c>
      <c r="I78" s="1" t="s">
        <v>624</v>
      </c>
      <c r="J78" s="1" t="s">
        <v>425</v>
      </c>
      <c r="K78" s="1" t="s">
        <v>625</v>
      </c>
      <c r="L78" s="1" t="s">
        <v>626</v>
      </c>
      <c r="M78" s="1" t="s">
        <v>627</v>
      </c>
      <c r="N78" s="1" t="s">
        <v>434</v>
      </c>
      <c r="O78" s="1" t="s">
        <v>628</v>
      </c>
      <c r="P78" s="1" t="s">
        <v>629</v>
      </c>
    </row>
    <row r="79" spans="1:16" s="18" customFormat="1" ht="15" customHeight="1" x14ac:dyDescent="0.35">
      <c r="A79" s="16" t="s">
        <v>772</v>
      </c>
      <c r="B79" s="16" t="s">
        <v>773</v>
      </c>
      <c r="C79" s="16" t="s">
        <v>740</v>
      </c>
      <c r="D79" s="16" t="s">
        <v>774</v>
      </c>
      <c r="E79" s="16" t="s">
        <v>742</v>
      </c>
      <c r="F79" s="16" t="s">
        <v>642</v>
      </c>
      <c r="G79" s="16" t="s">
        <v>563</v>
      </c>
      <c r="H79" s="16" t="s">
        <v>476</v>
      </c>
      <c r="I79" s="16" t="s">
        <v>775</v>
      </c>
      <c r="J79" s="16" t="s">
        <v>439</v>
      </c>
      <c r="K79" s="16" t="s">
        <v>637</v>
      </c>
      <c r="L79" s="16" t="s">
        <v>638</v>
      </c>
      <c r="M79" s="17">
        <v>999406</v>
      </c>
      <c r="N79" s="17">
        <v>-2549</v>
      </c>
      <c r="O79" s="17">
        <f t="shared" ref="O79:O95" si="4">M79+N79</f>
        <v>996857</v>
      </c>
      <c r="P79" s="17">
        <v>2447164</v>
      </c>
    </row>
    <row r="80" spans="1:16" s="18" customFormat="1" ht="15" customHeight="1" x14ac:dyDescent="0.35">
      <c r="A80" s="16" t="s">
        <v>776</v>
      </c>
      <c r="B80" s="16" t="s">
        <v>777</v>
      </c>
      <c r="C80" s="16" t="s">
        <v>740</v>
      </c>
      <c r="D80" s="16" t="s">
        <v>774</v>
      </c>
      <c r="E80" s="16" t="s">
        <v>742</v>
      </c>
      <c r="F80" s="16" t="s">
        <v>642</v>
      </c>
      <c r="G80" s="16" t="s">
        <v>568</v>
      </c>
      <c r="H80" s="16" t="s">
        <v>564</v>
      </c>
      <c r="I80" s="16" t="s">
        <v>775</v>
      </c>
      <c r="J80" s="16" t="s">
        <v>439</v>
      </c>
      <c r="K80" s="16" t="s">
        <v>637</v>
      </c>
      <c r="L80" s="16" t="s">
        <v>638</v>
      </c>
      <c r="M80" s="17">
        <v>693497</v>
      </c>
      <c r="N80" s="17">
        <v>-762</v>
      </c>
      <c r="O80" s="17">
        <f t="shared" si="4"/>
        <v>692735</v>
      </c>
      <c r="P80" s="17">
        <v>2313193</v>
      </c>
    </row>
    <row r="81" spans="1:16" s="18" customFormat="1" ht="15" customHeight="1" x14ac:dyDescent="0.35">
      <c r="A81" s="16" t="s">
        <v>778</v>
      </c>
      <c r="B81" s="16" t="s">
        <v>779</v>
      </c>
      <c r="C81" s="16" t="s">
        <v>740</v>
      </c>
      <c r="D81" s="16" t="s">
        <v>774</v>
      </c>
      <c r="E81" s="16" t="s">
        <v>742</v>
      </c>
      <c r="F81" s="16" t="s">
        <v>647</v>
      </c>
      <c r="G81" s="16" t="s">
        <v>572</v>
      </c>
      <c r="H81" s="16" t="s">
        <v>527</v>
      </c>
      <c r="I81" s="16" t="s">
        <v>775</v>
      </c>
      <c r="J81" s="16" t="s">
        <v>439</v>
      </c>
      <c r="K81" s="16" t="s">
        <v>637</v>
      </c>
      <c r="L81" s="16" t="s">
        <v>493</v>
      </c>
      <c r="M81" s="17">
        <v>1583494</v>
      </c>
      <c r="N81" s="17">
        <v>-744</v>
      </c>
      <c r="O81" s="17">
        <f t="shared" si="4"/>
        <v>1582750</v>
      </c>
      <c r="P81" s="17">
        <v>1426624</v>
      </c>
    </row>
    <row r="82" spans="1:16" s="18" customFormat="1" ht="15" customHeight="1" x14ac:dyDescent="0.35">
      <c r="A82" s="16" t="s">
        <v>780</v>
      </c>
      <c r="B82" s="16" t="s">
        <v>781</v>
      </c>
      <c r="C82" s="16" t="s">
        <v>740</v>
      </c>
      <c r="D82" s="16" t="s">
        <v>774</v>
      </c>
      <c r="E82" s="16" t="s">
        <v>742</v>
      </c>
      <c r="F82" s="16" t="s">
        <v>647</v>
      </c>
      <c r="G82" s="16" t="s">
        <v>526</v>
      </c>
      <c r="H82" s="16" t="s">
        <v>520</v>
      </c>
      <c r="I82" s="16" t="s">
        <v>775</v>
      </c>
      <c r="J82" s="16" t="s">
        <v>439</v>
      </c>
      <c r="K82" s="16" t="s">
        <v>637</v>
      </c>
      <c r="L82" s="16" t="s">
        <v>493</v>
      </c>
      <c r="M82" s="17">
        <v>1339315</v>
      </c>
      <c r="N82" s="17">
        <v>-4079</v>
      </c>
      <c r="O82" s="17">
        <f t="shared" si="4"/>
        <v>1335236</v>
      </c>
      <c r="P82" s="17">
        <v>626645</v>
      </c>
    </row>
    <row r="83" spans="1:16" s="18" customFormat="1" ht="15" customHeight="1" x14ac:dyDescent="0.35">
      <c r="A83" s="16" t="s">
        <v>782</v>
      </c>
      <c r="B83" s="16" t="s">
        <v>783</v>
      </c>
      <c r="C83" s="16" t="s">
        <v>740</v>
      </c>
      <c r="D83" s="16" t="s">
        <v>774</v>
      </c>
      <c r="E83" s="16" t="s">
        <v>742</v>
      </c>
      <c r="F83" s="16" t="s">
        <v>647</v>
      </c>
      <c r="G83" s="16" t="s">
        <v>531</v>
      </c>
      <c r="H83" s="16" t="s">
        <v>490</v>
      </c>
      <c r="I83" s="16" t="s">
        <v>775</v>
      </c>
      <c r="J83" s="16" t="s">
        <v>439</v>
      </c>
      <c r="K83" s="16" t="s">
        <v>637</v>
      </c>
      <c r="L83" s="16" t="s">
        <v>493</v>
      </c>
      <c r="M83" s="17">
        <v>2403763</v>
      </c>
      <c r="N83" s="17">
        <v>-3002</v>
      </c>
      <c r="O83" s="17">
        <f t="shared" si="4"/>
        <v>2400761</v>
      </c>
      <c r="P83" s="17">
        <v>1118228</v>
      </c>
    </row>
    <row r="84" spans="1:16" s="18" customFormat="1" ht="15" customHeight="1" x14ac:dyDescent="0.35">
      <c r="A84" s="16" t="s">
        <v>784</v>
      </c>
      <c r="B84" s="16" t="s">
        <v>785</v>
      </c>
      <c r="C84" s="16" t="s">
        <v>740</v>
      </c>
      <c r="D84" s="16" t="s">
        <v>774</v>
      </c>
      <c r="E84" s="16" t="s">
        <v>742</v>
      </c>
      <c r="F84" s="16" t="s">
        <v>635</v>
      </c>
      <c r="G84" s="16" t="s">
        <v>489</v>
      </c>
      <c r="H84" s="16" t="s">
        <v>497</v>
      </c>
      <c r="I84" s="16" t="s">
        <v>775</v>
      </c>
      <c r="J84" s="16" t="s">
        <v>439</v>
      </c>
      <c r="K84" s="16" t="s">
        <v>637</v>
      </c>
      <c r="L84" s="16" t="s">
        <v>493</v>
      </c>
      <c r="M84" s="17">
        <v>2436995</v>
      </c>
      <c r="N84" s="17">
        <v>-951</v>
      </c>
      <c r="O84" s="17">
        <f t="shared" si="4"/>
        <v>2436044</v>
      </c>
      <c r="P84" s="17">
        <v>2712636</v>
      </c>
    </row>
    <row r="85" spans="1:16" s="18" customFormat="1" ht="15" customHeight="1" x14ac:dyDescent="0.35">
      <c r="A85" s="16" t="s">
        <v>786</v>
      </c>
      <c r="B85" s="16" t="s">
        <v>787</v>
      </c>
      <c r="C85" s="16" t="s">
        <v>740</v>
      </c>
      <c r="D85" s="16" t="s">
        <v>774</v>
      </c>
      <c r="E85" s="16" t="s">
        <v>742</v>
      </c>
      <c r="F85" s="16" t="s">
        <v>642</v>
      </c>
      <c r="G85" s="16" t="s">
        <v>496</v>
      </c>
      <c r="H85" s="16" t="s">
        <v>503</v>
      </c>
      <c r="I85" s="16" t="s">
        <v>775</v>
      </c>
      <c r="J85" s="16" t="s">
        <v>439</v>
      </c>
      <c r="K85" s="16" t="s">
        <v>637</v>
      </c>
      <c r="L85" s="16" t="s">
        <v>493</v>
      </c>
      <c r="M85" s="17">
        <v>2344048</v>
      </c>
      <c r="N85" s="17">
        <v>-4128</v>
      </c>
      <c r="O85" s="17">
        <f t="shared" si="4"/>
        <v>2339920</v>
      </c>
      <c r="P85" s="17">
        <v>831555</v>
      </c>
    </row>
    <row r="86" spans="1:16" s="18" customFormat="1" ht="15" customHeight="1" x14ac:dyDescent="0.35">
      <c r="A86" s="16" t="s">
        <v>788</v>
      </c>
      <c r="B86" s="16" t="s">
        <v>789</v>
      </c>
      <c r="C86" s="16" t="s">
        <v>740</v>
      </c>
      <c r="D86" s="16" t="s">
        <v>774</v>
      </c>
      <c r="E86" s="16" t="s">
        <v>742</v>
      </c>
      <c r="F86" s="16" t="s">
        <v>647</v>
      </c>
      <c r="G86" s="16" t="s">
        <v>502</v>
      </c>
      <c r="H86" s="16" t="s">
        <v>508</v>
      </c>
      <c r="I86" s="16" t="s">
        <v>775</v>
      </c>
      <c r="J86" s="16" t="s">
        <v>439</v>
      </c>
      <c r="K86" s="16" t="s">
        <v>637</v>
      </c>
      <c r="L86" s="16" t="s">
        <v>493</v>
      </c>
      <c r="M86" s="17">
        <v>1365664</v>
      </c>
      <c r="N86" s="17">
        <v>-1227</v>
      </c>
      <c r="O86" s="17">
        <f t="shared" si="4"/>
        <v>1364437</v>
      </c>
      <c r="P86" s="17">
        <v>901910</v>
      </c>
    </row>
    <row r="87" spans="1:16" s="18" customFormat="1" ht="15" customHeight="1" x14ac:dyDescent="0.35">
      <c r="A87" s="16" t="s">
        <v>790</v>
      </c>
      <c r="B87" s="16" t="s">
        <v>791</v>
      </c>
      <c r="C87" s="16" t="s">
        <v>740</v>
      </c>
      <c r="D87" s="16" t="s">
        <v>774</v>
      </c>
      <c r="E87" s="16" t="s">
        <v>742</v>
      </c>
      <c r="F87" s="16" t="s">
        <v>642</v>
      </c>
      <c r="G87" s="16" t="s">
        <v>387</v>
      </c>
      <c r="H87" s="16" t="s">
        <v>513</v>
      </c>
      <c r="I87" s="16" t="s">
        <v>775</v>
      </c>
      <c r="J87" s="16" t="s">
        <v>439</v>
      </c>
      <c r="K87" s="16" t="s">
        <v>637</v>
      </c>
      <c r="L87" s="16" t="s">
        <v>493</v>
      </c>
      <c r="M87" s="17">
        <v>2008372</v>
      </c>
      <c r="N87" s="17">
        <v>-3092</v>
      </c>
      <c r="O87" s="17">
        <f t="shared" si="4"/>
        <v>2005280</v>
      </c>
      <c r="P87" s="17">
        <v>1709854</v>
      </c>
    </row>
    <row r="88" spans="1:16" s="18" customFormat="1" ht="15" customHeight="1" x14ac:dyDescent="0.35">
      <c r="A88" s="16" t="s">
        <v>792</v>
      </c>
      <c r="B88" s="16" t="s">
        <v>793</v>
      </c>
      <c r="C88" s="16" t="s">
        <v>740</v>
      </c>
      <c r="D88" s="16" t="s">
        <v>774</v>
      </c>
      <c r="E88" s="16" t="s">
        <v>742</v>
      </c>
      <c r="F88" s="16" t="s">
        <v>647</v>
      </c>
      <c r="G88" s="16" t="s">
        <v>563</v>
      </c>
      <c r="H88" s="16" t="s">
        <v>476</v>
      </c>
      <c r="I88" s="16" t="s">
        <v>775</v>
      </c>
      <c r="J88" s="16" t="s">
        <v>439</v>
      </c>
      <c r="K88" s="16" t="s">
        <v>637</v>
      </c>
      <c r="L88" s="16" t="s">
        <v>493</v>
      </c>
      <c r="M88" s="17">
        <v>1794227</v>
      </c>
      <c r="N88" s="17">
        <v>-4257</v>
      </c>
      <c r="O88" s="17">
        <f t="shared" si="4"/>
        <v>1789970</v>
      </c>
      <c r="P88" s="17">
        <v>2298728</v>
      </c>
    </row>
    <row r="89" spans="1:16" s="18" customFormat="1" ht="15" customHeight="1" x14ac:dyDescent="0.35">
      <c r="A89" s="16" t="s">
        <v>794</v>
      </c>
      <c r="B89" s="16" t="s">
        <v>795</v>
      </c>
      <c r="C89" s="16" t="s">
        <v>740</v>
      </c>
      <c r="D89" s="16" t="s">
        <v>774</v>
      </c>
      <c r="E89" s="16" t="s">
        <v>742</v>
      </c>
      <c r="F89" s="16" t="s">
        <v>642</v>
      </c>
      <c r="G89" s="16" t="s">
        <v>568</v>
      </c>
      <c r="H89" s="16" t="s">
        <v>564</v>
      </c>
      <c r="I89" s="16" t="s">
        <v>775</v>
      </c>
      <c r="J89" s="16" t="s">
        <v>439</v>
      </c>
      <c r="K89" s="16" t="s">
        <v>637</v>
      </c>
      <c r="L89" s="16" t="s">
        <v>493</v>
      </c>
      <c r="M89" s="17">
        <v>1299455</v>
      </c>
      <c r="N89" s="17">
        <v>-739</v>
      </c>
      <c r="O89" s="17">
        <f t="shared" si="4"/>
        <v>1298716</v>
      </c>
      <c r="P89" s="17">
        <v>988498</v>
      </c>
    </row>
    <row r="90" spans="1:16" s="18" customFormat="1" ht="15" customHeight="1" x14ac:dyDescent="0.35">
      <c r="A90" s="16" t="s">
        <v>796</v>
      </c>
      <c r="B90" s="16" t="s">
        <v>797</v>
      </c>
      <c r="C90" s="16" t="s">
        <v>740</v>
      </c>
      <c r="D90" s="16" t="s">
        <v>774</v>
      </c>
      <c r="E90" s="16" t="s">
        <v>742</v>
      </c>
      <c r="F90" s="16" t="s">
        <v>647</v>
      </c>
      <c r="G90" s="16" t="s">
        <v>572</v>
      </c>
      <c r="H90" s="16" t="s">
        <v>527</v>
      </c>
      <c r="I90" s="16" t="s">
        <v>775</v>
      </c>
      <c r="J90" s="16" t="s">
        <v>439</v>
      </c>
      <c r="K90" s="16" t="s">
        <v>637</v>
      </c>
      <c r="L90" s="16" t="s">
        <v>493</v>
      </c>
      <c r="M90" s="17">
        <v>895552</v>
      </c>
      <c r="N90" s="17">
        <v>-2810</v>
      </c>
      <c r="O90" s="17">
        <f t="shared" si="4"/>
        <v>892742</v>
      </c>
      <c r="P90" s="17">
        <v>1004779</v>
      </c>
    </row>
    <row r="91" spans="1:16" s="18" customFormat="1" ht="15" customHeight="1" x14ac:dyDescent="0.35">
      <c r="A91" s="16" t="s">
        <v>798</v>
      </c>
      <c r="B91" s="16" t="s">
        <v>799</v>
      </c>
      <c r="C91" s="16" t="s">
        <v>740</v>
      </c>
      <c r="D91" s="16" t="s">
        <v>774</v>
      </c>
      <c r="E91" s="16" t="s">
        <v>742</v>
      </c>
      <c r="F91" s="16" t="s">
        <v>635</v>
      </c>
      <c r="G91" s="16" t="s">
        <v>526</v>
      </c>
      <c r="H91" s="16" t="s">
        <v>520</v>
      </c>
      <c r="I91" s="16" t="s">
        <v>775</v>
      </c>
      <c r="J91" s="16" t="s">
        <v>439</v>
      </c>
      <c r="K91" s="16" t="s">
        <v>637</v>
      </c>
      <c r="L91" s="16" t="s">
        <v>493</v>
      </c>
      <c r="M91" s="17">
        <v>1995331</v>
      </c>
      <c r="N91" s="17">
        <v>-3846</v>
      </c>
      <c r="O91" s="17">
        <f t="shared" si="4"/>
        <v>1991485</v>
      </c>
      <c r="P91" s="17">
        <v>942768</v>
      </c>
    </row>
    <row r="92" spans="1:16" s="18" customFormat="1" ht="15" customHeight="1" x14ac:dyDescent="0.35">
      <c r="A92" s="16" t="s">
        <v>800</v>
      </c>
      <c r="B92" s="16" t="s">
        <v>801</v>
      </c>
      <c r="C92" s="16" t="s">
        <v>740</v>
      </c>
      <c r="D92" s="16" t="s">
        <v>774</v>
      </c>
      <c r="E92" s="16" t="s">
        <v>742</v>
      </c>
      <c r="F92" s="16" t="s">
        <v>642</v>
      </c>
      <c r="G92" s="16" t="s">
        <v>531</v>
      </c>
      <c r="H92" s="16" t="s">
        <v>490</v>
      </c>
      <c r="I92" s="16" t="s">
        <v>775</v>
      </c>
      <c r="J92" s="16" t="s">
        <v>439</v>
      </c>
      <c r="K92" s="16" t="s">
        <v>637</v>
      </c>
      <c r="L92" s="16" t="s">
        <v>493</v>
      </c>
      <c r="M92" s="17">
        <v>2283993</v>
      </c>
      <c r="N92" s="17">
        <v>-4102</v>
      </c>
      <c r="O92" s="17">
        <f t="shared" si="4"/>
        <v>2279891</v>
      </c>
      <c r="P92" s="17">
        <v>2358226</v>
      </c>
    </row>
    <row r="93" spans="1:16" s="18" customFormat="1" ht="15" customHeight="1" x14ac:dyDescent="0.35">
      <c r="A93" s="16" t="s">
        <v>802</v>
      </c>
      <c r="B93" s="16" t="s">
        <v>803</v>
      </c>
      <c r="C93" s="16" t="s">
        <v>740</v>
      </c>
      <c r="D93" s="16" t="s">
        <v>774</v>
      </c>
      <c r="E93" s="16" t="s">
        <v>742</v>
      </c>
      <c r="F93" s="16" t="s">
        <v>647</v>
      </c>
      <c r="G93" s="16" t="s">
        <v>673</v>
      </c>
      <c r="H93" s="16" t="s">
        <v>381</v>
      </c>
      <c r="I93" s="16" t="s">
        <v>775</v>
      </c>
      <c r="J93" s="16" t="s">
        <v>439</v>
      </c>
      <c r="K93" s="16" t="s">
        <v>674</v>
      </c>
      <c r="L93" s="16" t="s">
        <v>675</v>
      </c>
      <c r="M93" s="17">
        <v>56821</v>
      </c>
      <c r="N93" s="17">
        <v>-14987</v>
      </c>
      <c r="O93" s="17">
        <f t="shared" si="4"/>
        <v>41834</v>
      </c>
      <c r="P93" s="17">
        <v>46940</v>
      </c>
    </row>
    <row r="94" spans="1:16" s="18" customFormat="1" ht="15" customHeight="1" x14ac:dyDescent="0.35">
      <c r="A94" s="16" t="s">
        <v>804</v>
      </c>
      <c r="B94" s="16" t="s">
        <v>805</v>
      </c>
      <c r="C94" s="16" t="s">
        <v>740</v>
      </c>
      <c r="D94" s="16" t="s">
        <v>774</v>
      </c>
      <c r="E94" s="16" t="s">
        <v>742</v>
      </c>
      <c r="F94" s="16" t="s">
        <v>642</v>
      </c>
      <c r="G94" s="16" t="s">
        <v>678</v>
      </c>
      <c r="H94" s="16" t="s">
        <v>390</v>
      </c>
      <c r="I94" s="16" t="s">
        <v>775</v>
      </c>
      <c r="J94" s="16" t="s">
        <v>439</v>
      </c>
      <c r="K94" s="16" t="s">
        <v>674</v>
      </c>
      <c r="L94" s="16" t="s">
        <v>675</v>
      </c>
      <c r="M94" s="17">
        <v>56373</v>
      </c>
      <c r="N94" s="17">
        <v>-20057</v>
      </c>
      <c r="O94" s="17">
        <f t="shared" si="4"/>
        <v>36316</v>
      </c>
      <c r="P94" s="17">
        <v>54311</v>
      </c>
    </row>
    <row r="95" spans="1:16" s="18" customFormat="1" ht="15" customHeight="1" x14ac:dyDescent="0.35">
      <c r="A95" s="16" t="s">
        <v>806</v>
      </c>
      <c r="B95" s="16" t="s">
        <v>807</v>
      </c>
      <c r="C95" s="16" t="s">
        <v>740</v>
      </c>
      <c r="D95" s="16" t="s">
        <v>774</v>
      </c>
      <c r="E95" s="16" t="s">
        <v>742</v>
      </c>
      <c r="F95" s="16" t="s">
        <v>647</v>
      </c>
      <c r="G95" s="16" t="s">
        <v>681</v>
      </c>
      <c r="H95" s="16" t="s">
        <v>476</v>
      </c>
      <c r="I95" s="16" t="s">
        <v>775</v>
      </c>
      <c r="J95" s="16" t="s">
        <v>439</v>
      </c>
      <c r="K95" s="16" t="s">
        <v>674</v>
      </c>
      <c r="L95" s="16" t="s">
        <v>675</v>
      </c>
      <c r="M95" s="17">
        <v>21039</v>
      </c>
      <c r="N95" s="17">
        <v>-32348</v>
      </c>
      <c r="O95" s="17">
        <f t="shared" si="4"/>
        <v>-11309</v>
      </c>
      <c r="P95" s="17">
        <v>68941</v>
      </c>
    </row>
    <row r="98" spans="1:16" ht="18" customHeight="1" x14ac:dyDescent="0.35">
      <c r="A98" s="25" t="s">
        <v>912</v>
      </c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</row>
    <row r="99" spans="1:16" ht="25.5" customHeight="1" x14ac:dyDescent="0.35">
      <c r="A99" s="1" t="s">
        <v>618</v>
      </c>
      <c r="B99" s="1" t="s">
        <v>619</v>
      </c>
      <c r="C99" s="1" t="s">
        <v>620</v>
      </c>
      <c r="D99" s="1" t="s">
        <v>219</v>
      </c>
      <c r="E99" s="1" t="s">
        <v>621</v>
      </c>
      <c r="F99" s="1" t="s">
        <v>622</v>
      </c>
      <c r="G99" s="1" t="s">
        <v>623</v>
      </c>
      <c r="H99" s="1" t="s">
        <v>427</v>
      </c>
      <c r="I99" s="1" t="s">
        <v>624</v>
      </c>
      <c r="J99" s="1" t="s">
        <v>425</v>
      </c>
      <c r="K99" s="1" t="s">
        <v>625</v>
      </c>
      <c r="L99" s="1" t="s">
        <v>626</v>
      </c>
      <c r="M99" s="1" t="s">
        <v>627</v>
      </c>
      <c r="N99" s="1" t="s">
        <v>434</v>
      </c>
      <c r="O99" s="1" t="s">
        <v>628</v>
      </c>
      <c r="P99" s="1" t="s">
        <v>629</v>
      </c>
    </row>
    <row r="100" spans="1:16" s="18" customFormat="1" ht="15" customHeight="1" x14ac:dyDescent="0.35">
      <c r="A100" s="16" t="s">
        <v>808</v>
      </c>
      <c r="B100" s="16" t="s">
        <v>809</v>
      </c>
      <c r="C100" s="16" t="s">
        <v>740</v>
      </c>
      <c r="D100" s="16" t="s">
        <v>810</v>
      </c>
      <c r="E100" s="16" t="s">
        <v>742</v>
      </c>
      <c r="F100" s="16" t="s">
        <v>647</v>
      </c>
      <c r="G100" s="16" t="s">
        <v>563</v>
      </c>
      <c r="H100" s="16" t="s">
        <v>476</v>
      </c>
      <c r="I100" s="16" t="s">
        <v>811</v>
      </c>
      <c r="J100" s="16" t="s">
        <v>439</v>
      </c>
      <c r="K100" s="16" t="s">
        <v>637</v>
      </c>
      <c r="L100" s="16" t="s">
        <v>638</v>
      </c>
      <c r="M100" s="17">
        <v>487042</v>
      </c>
      <c r="N100" s="17">
        <v>-451</v>
      </c>
      <c r="O100" s="17">
        <f t="shared" ref="O100:O109" si="5">M100+N100</f>
        <v>486591</v>
      </c>
      <c r="P100" s="17">
        <v>144690</v>
      </c>
    </row>
    <row r="101" spans="1:16" s="18" customFormat="1" ht="15" customHeight="1" x14ac:dyDescent="0.35">
      <c r="A101" s="16" t="s">
        <v>812</v>
      </c>
      <c r="B101" s="16" t="s">
        <v>813</v>
      </c>
      <c r="C101" s="16" t="s">
        <v>740</v>
      </c>
      <c r="D101" s="16" t="s">
        <v>810</v>
      </c>
      <c r="E101" s="16" t="s">
        <v>742</v>
      </c>
      <c r="F101" s="16" t="s">
        <v>647</v>
      </c>
      <c r="G101" s="16" t="s">
        <v>568</v>
      </c>
      <c r="H101" s="16" t="s">
        <v>564</v>
      </c>
      <c r="I101" s="16" t="s">
        <v>811</v>
      </c>
      <c r="J101" s="16" t="s">
        <v>439</v>
      </c>
      <c r="K101" s="16" t="s">
        <v>637</v>
      </c>
      <c r="L101" s="16" t="s">
        <v>493</v>
      </c>
      <c r="M101" s="17">
        <v>248350</v>
      </c>
      <c r="N101" s="17">
        <v>-1865</v>
      </c>
      <c r="O101" s="17">
        <f t="shared" si="5"/>
        <v>246485</v>
      </c>
      <c r="P101" s="17">
        <v>232094</v>
      </c>
    </row>
    <row r="102" spans="1:16" s="18" customFormat="1" ht="15" customHeight="1" x14ac:dyDescent="0.35">
      <c r="A102" s="16" t="s">
        <v>814</v>
      </c>
      <c r="B102" s="16" t="s">
        <v>815</v>
      </c>
      <c r="C102" s="16" t="s">
        <v>740</v>
      </c>
      <c r="D102" s="16" t="s">
        <v>810</v>
      </c>
      <c r="E102" s="16" t="s">
        <v>742</v>
      </c>
      <c r="F102" s="16" t="s">
        <v>647</v>
      </c>
      <c r="G102" s="16" t="s">
        <v>572</v>
      </c>
      <c r="H102" s="16" t="s">
        <v>527</v>
      </c>
      <c r="I102" s="16" t="s">
        <v>811</v>
      </c>
      <c r="J102" s="16" t="s">
        <v>439</v>
      </c>
      <c r="K102" s="16" t="s">
        <v>637</v>
      </c>
      <c r="L102" s="16" t="s">
        <v>493</v>
      </c>
      <c r="M102" s="17">
        <v>178830</v>
      </c>
      <c r="N102" s="17">
        <v>-1332</v>
      </c>
      <c r="O102" s="17">
        <f t="shared" si="5"/>
        <v>177498</v>
      </c>
      <c r="P102" s="17">
        <v>247996</v>
      </c>
    </row>
    <row r="103" spans="1:16" s="18" customFormat="1" ht="15" customHeight="1" x14ac:dyDescent="0.35">
      <c r="A103" s="16" t="s">
        <v>816</v>
      </c>
      <c r="B103" s="16" t="s">
        <v>817</v>
      </c>
      <c r="C103" s="16" t="s">
        <v>740</v>
      </c>
      <c r="D103" s="16" t="s">
        <v>810</v>
      </c>
      <c r="E103" s="16" t="s">
        <v>742</v>
      </c>
      <c r="F103" s="16" t="s">
        <v>647</v>
      </c>
      <c r="G103" s="16" t="s">
        <v>526</v>
      </c>
      <c r="H103" s="16" t="s">
        <v>520</v>
      </c>
      <c r="I103" s="16" t="s">
        <v>811</v>
      </c>
      <c r="J103" s="16" t="s">
        <v>439</v>
      </c>
      <c r="K103" s="16" t="s">
        <v>637</v>
      </c>
      <c r="L103" s="16" t="s">
        <v>493</v>
      </c>
      <c r="M103" s="17">
        <v>503071</v>
      </c>
      <c r="N103" s="17">
        <v>-2092</v>
      </c>
      <c r="O103" s="17">
        <f t="shared" si="5"/>
        <v>500979</v>
      </c>
      <c r="P103" s="17">
        <v>285951</v>
      </c>
    </row>
    <row r="104" spans="1:16" s="18" customFormat="1" ht="15" customHeight="1" x14ac:dyDescent="0.35">
      <c r="A104" s="16" t="s">
        <v>818</v>
      </c>
      <c r="B104" s="16" t="s">
        <v>819</v>
      </c>
      <c r="C104" s="16" t="s">
        <v>740</v>
      </c>
      <c r="D104" s="16" t="s">
        <v>810</v>
      </c>
      <c r="E104" s="16" t="s">
        <v>742</v>
      </c>
      <c r="F104" s="16" t="s">
        <v>647</v>
      </c>
      <c r="G104" s="16" t="s">
        <v>531</v>
      </c>
      <c r="H104" s="16" t="s">
        <v>490</v>
      </c>
      <c r="I104" s="16" t="s">
        <v>811</v>
      </c>
      <c r="J104" s="16" t="s">
        <v>439</v>
      </c>
      <c r="K104" s="16" t="s">
        <v>637</v>
      </c>
      <c r="L104" s="16" t="s">
        <v>493</v>
      </c>
      <c r="M104" s="17">
        <v>392507</v>
      </c>
      <c r="N104" s="17">
        <v>-1833</v>
      </c>
      <c r="O104" s="17">
        <f t="shared" si="5"/>
        <v>390674</v>
      </c>
      <c r="P104" s="17">
        <v>189641</v>
      </c>
    </row>
    <row r="105" spans="1:16" s="18" customFormat="1" ht="15" customHeight="1" x14ac:dyDescent="0.35">
      <c r="A105" s="16" t="s">
        <v>820</v>
      </c>
      <c r="B105" s="16" t="s">
        <v>821</v>
      </c>
      <c r="C105" s="16" t="s">
        <v>740</v>
      </c>
      <c r="D105" s="16" t="s">
        <v>810</v>
      </c>
      <c r="E105" s="16" t="s">
        <v>742</v>
      </c>
      <c r="F105" s="16" t="s">
        <v>647</v>
      </c>
      <c r="G105" s="16" t="s">
        <v>489</v>
      </c>
      <c r="H105" s="16" t="s">
        <v>497</v>
      </c>
      <c r="I105" s="16" t="s">
        <v>811</v>
      </c>
      <c r="J105" s="16" t="s">
        <v>439</v>
      </c>
      <c r="K105" s="16" t="s">
        <v>637</v>
      </c>
      <c r="L105" s="16" t="s">
        <v>493</v>
      </c>
      <c r="M105" s="17">
        <v>400084</v>
      </c>
      <c r="N105" s="17">
        <v>-1555</v>
      </c>
      <c r="O105" s="17">
        <f t="shared" si="5"/>
        <v>398529</v>
      </c>
      <c r="P105" s="17">
        <v>67013</v>
      </c>
    </row>
    <row r="106" spans="1:16" s="18" customFormat="1" ht="15" customHeight="1" x14ac:dyDescent="0.35">
      <c r="A106" s="16" t="s">
        <v>822</v>
      </c>
      <c r="B106" s="16" t="s">
        <v>823</v>
      </c>
      <c r="C106" s="16" t="s">
        <v>740</v>
      </c>
      <c r="D106" s="16" t="s">
        <v>810</v>
      </c>
      <c r="E106" s="16" t="s">
        <v>742</v>
      </c>
      <c r="F106" s="16" t="s">
        <v>647</v>
      </c>
      <c r="G106" s="16" t="s">
        <v>496</v>
      </c>
      <c r="H106" s="16" t="s">
        <v>503</v>
      </c>
      <c r="I106" s="16" t="s">
        <v>811</v>
      </c>
      <c r="J106" s="16" t="s">
        <v>439</v>
      </c>
      <c r="K106" s="16" t="s">
        <v>637</v>
      </c>
      <c r="L106" s="16" t="s">
        <v>493</v>
      </c>
      <c r="M106" s="17">
        <v>316369</v>
      </c>
      <c r="N106" s="17">
        <v>-1787</v>
      </c>
      <c r="O106" s="17">
        <f t="shared" si="5"/>
        <v>314582</v>
      </c>
      <c r="P106" s="17">
        <v>290900</v>
      </c>
    </row>
    <row r="107" spans="1:16" s="18" customFormat="1" ht="15" customHeight="1" x14ac:dyDescent="0.35">
      <c r="A107" s="16" t="s">
        <v>824</v>
      </c>
      <c r="B107" s="16" t="s">
        <v>825</v>
      </c>
      <c r="C107" s="16" t="s">
        <v>740</v>
      </c>
      <c r="D107" s="16" t="s">
        <v>810</v>
      </c>
      <c r="E107" s="16" t="s">
        <v>742</v>
      </c>
      <c r="F107" s="16" t="s">
        <v>647</v>
      </c>
      <c r="G107" s="16" t="s">
        <v>502</v>
      </c>
      <c r="H107" s="16" t="s">
        <v>508</v>
      </c>
      <c r="I107" s="16" t="s">
        <v>811</v>
      </c>
      <c r="J107" s="16" t="s">
        <v>439</v>
      </c>
      <c r="K107" s="16" t="s">
        <v>637</v>
      </c>
      <c r="L107" s="16" t="s">
        <v>493</v>
      </c>
      <c r="M107" s="17">
        <v>546900</v>
      </c>
      <c r="N107" s="17">
        <v>-166</v>
      </c>
      <c r="O107" s="17">
        <f t="shared" si="5"/>
        <v>546734</v>
      </c>
      <c r="P107" s="17">
        <v>142479</v>
      </c>
    </row>
    <row r="108" spans="1:16" s="18" customFormat="1" ht="15" customHeight="1" x14ac:dyDescent="0.35">
      <c r="A108" s="16" t="s">
        <v>826</v>
      </c>
      <c r="B108" s="16" t="s">
        <v>827</v>
      </c>
      <c r="C108" s="16" t="s">
        <v>740</v>
      </c>
      <c r="D108" s="16" t="s">
        <v>810</v>
      </c>
      <c r="E108" s="16" t="s">
        <v>742</v>
      </c>
      <c r="F108" s="16" t="s">
        <v>647</v>
      </c>
      <c r="G108" s="16" t="s">
        <v>673</v>
      </c>
      <c r="H108" s="16" t="s">
        <v>381</v>
      </c>
      <c r="I108" s="16" t="s">
        <v>811</v>
      </c>
      <c r="J108" s="16" t="s">
        <v>439</v>
      </c>
      <c r="K108" s="16" t="s">
        <v>674</v>
      </c>
      <c r="L108" s="16" t="s">
        <v>675</v>
      </c>
      <c r="M108" s="17">
        <v>1924</v>
      </c>
      <c r="N108" s="17">
        <v>-2130</v>
      </c>
      <c r="O108" s="17">
        <f t="shared" si="5"/>
        <v>-206</v>
      </c>
      <c r="P108" s="17">
        <v>750</v>
      </c>
    </row>
    <row r="109" spans="1:16" s="18" customFormat="1" ht="15" customHeight="1" x14ac:dyDescent="0.35">
      <c r="A109" s="16" t="s">
        <v>828</v>
      </c>
      <c r="B109" s="16" t="s">
        <v>829</v>
      </c>
      <c r="C109" s="16" t="s">
        <v>740</v>
      </c>
      <c r="D109" s="16" t="s">
        <v>810</v>
      </c>
      <c r="E109" s="16" t="s">
        <v>742</v>
      </c>
      <c r="F109" s="16" t="s">
        <v>647</v>
      </c>
      <c r="G109" s="16" t="s">
        <v>678</v>
      </c>
      <c r="H109" s="16" t="s">
        <v>390</v>
      </c>
      <c r="I109" s="16" t="s">
        <v>811</v>
      </c>
      <c r="J109" s="16" t="s">
        <v>439</v>
      </c>
      <c r="K109" s="16" t="s">
        <v>674</v>
      </c>
      <c r="L109" s="16" t="s">
        <v>675</v>
      </c>
      <c r="M109" s="17">
        <v>1420</v>
      </c>
      <c r="N109" s="17">
        <v>-5257</v>
      </c>
      <c r="O109" s="17">
        <f t="shared" si="5"/>
        <v>-3837</v>
      </c>
      <c r="P109" s="17">
        <v>506</v>
      </c>
    </row>
    <row r="112" spans="1:16" ht="18" customHeight="1" x14ac:dyDescent="0.35">
      <c r="A112" s="25" t="s">
        <v>913</v>
      </c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</row>
    <row r="113" spans="1:16" ht="25.5" customHeight="1" x14ac:dyDescent="0.35">
      <c r="A113" s="1" t="s">
        <v>618</v>
      </c>
      <c r="B113" s="1" t="s">
        <v>619</v>
      </c>
      <c r="C113" s="1" t="s">
        <v>620</v>
      </c>
      <c r="D113" s="1" t="s">
        <v>219</v>
      </c>
      <c r="E113" s="1" t="s">
        <v>621</v>
      </c>
      <c r="F113" s="1" t="s">
        <v>622</v>
      </c>
      <c r="G113" s="1" t="s">
        <v>623</v>
      </c>
      <c r="H113" s="1" t="s">
        <v>427</v>
      </c>
      <c r="I113" s="1" t="s">
        <v>624</v>
      </c>
      <c r="J113" s="1" t="s">
        <v>425</v>
      </c>
      <c r="K113" s="1" t="s">
        <v>625</v>
      </c>
      <c r="L113" s="1" t="s">
        <v>626</v>
      </c>
      <c r="M113" s="1" t="s">
        <v>627</v>
      </c>
      <c r="N113" s="1" t="s">
        <v>434</v>
      </c>
      <c r="O113" s="1" t="s">
        <v>628</v>
      </c>
      <c r="P113" s="1" t="s">
        <v>629</v>
      </c>
    </row>
    <row r="114" spans="1:16" s="18" customFormat="1" ht="15" customHeight="1" x14ac:dyDescent="0.35">
      <c r="A114" s="16" t="s">
        <v>830</v>
      </c>
      <c r="B114" s="16" t="s">
        <v>831</v>
      </c>
      <c r="C114" s="16" t="s">
        <v>740</v>
      </c>
      <c r="D114" s="16" t="s">
        <v>832</v>
      </c>
      <c r="E114" s="16" t="s">
        <v>742</v>
      </c>
      <c r="F114" s="16" t="s">
        <v>642</v>
      </c>
      <c r="G114" s="16" t="s">
        <v>833</v>
      </c>
      <c r="H114" s="16" t="s">
        <v>833</v>
      </c>
      <c r="I114" s="16" t="s">
        <v>834</v>
      </c>
      <c r="J114" s="16" t="s">
        <v>439</v>
      </c>
      <c r="K114" s="16" t="s">
        <v>637</v>
      </c>
      <c r="L114" s="16" t="s">
        <v>835</v>
      </c>
      <c r="M114" s="17">
        <v>837653</v>
      </c>
      <c r="N114" s="17">
        <v>-13392</v>
      </c>
      <c r="O114" s="17">
        <f>M114+N114</f>
        <v>824261</v>
      </c>
      <c r="P114" s="17">
        <v>787212</v>
      </c>
    </row>
    <row r="115" spans="1:16" s="18" customFormat="1" ht="15" customHeight="1" x14ac:dyDescent="0.35">
      <c r="A115" s="16" t="s">
        <v>836</v>
      </c>
      <c r="B115" s="16" t="s">
        <v>837</v>
      </c>
      <c r="C115" s="16" t="s">
        <v>740</v>
      </c>
      <c r="D115" s="16" t="s">
        <v>832</v>
      </c>
      <c r="E115" s="16" t="s">
        <v>742</v>
      </c>
      <c r="F115" s="16" t="s">
        <v>642</v>
      </c>
      <c r="G115" s="16" t="s">
        <v>833</v>
      </c>
      <c r="H115" s="16" t="s">
        <v>833</v>
      </c>
      <c r="I115" s="16" t="s">
        <v>834</v>
      </c>
      <c r="J115" s="16" t="s">
        <v>439</v>
      </c>
      <c r="K115" s="16" t="s">
        <v>674</v>
      </c>
      <c r="L115" s="16" t="s">
        <v>675</v>
      </c>
      <c r="M115" s="17">
        <v>42244</v>
      </c>
      <c r="N115" s="17">
        <v>-53569</v>
      </c>
      <c r="O115" s="17">
        <f>M115+N115</f>
        <v>-11325</v>
      </c>
      <c r="P115" s="17">
        <v>50724</v>
      </c>
    </row>
    <row r="118" spans="1:16" ht="18" customHeight="1" x14ac:dyDescent="0.35">
      <c r="A118" s="25" t="s">
        <v>914</v>
      </c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</row>
    <row r="119" spans="1:16" ht="25.5" customHeight="1" x14ac:dyDescent="0.35">
      <c r="A119" s="1" t="s">
        <v>618</v>
      </c>
      <c r="B119" s="1" t="s">
        <v>619</v>
      </c>
      <c r="C119" s="1" t="s">
        <v>620</v>
      </c>
      <c r="D119" s="1" t="s">
        <v>219</v>
      </c>
      <c r="E119" s="1" t="s">
        <v>621</v>
      </c>
      <c r="F119" s="1" t="s">
        <v>622</v>
      </c>
      <c r="G119" s="1" t="s">
        <v>623</v>
      </c>
      <c r="H119" s="1" t="s">
        <v>427</v>
      </c>
      <c r="I119" s="1" t="s">
        <v>624</v>
      </c>
      <c r="J119" s="1" t="s">
        <v>425</v>
      </c>
      <c r="K119" s="1" t="s">
        <v>625</v>
      </c>
      <c r="L119" s="1" t="s">
        <v>626</v>
      </c>
      <c r="M119" s="1" t="s">
        <v>627</v>
      </c>
      <c r="N119" s="1" t="s">
        <v>434</v>
      </c>
      <c r="O119" s="1" t="s">
        <v>628</v>
      </c>
      <c r="P119" s="1" t="s">
        <v>629</v>
      </c>
    </row>
    <row r="120" spans="1:16" s="18" customFormat="1" ht="15" customHeight="1" x14ac:dyDescent="0.35">
      <c r="A120" s="16" t="s">
        <v>838</v>
      </c>
      <c r="B120" s="16" t="s">
        <v>839</v>
      </c>
      <c r="C120" s="16" t="s">
        <v>740</v>
      </c>
      <c r="D120" s="16" t="s">
        <v>840</v>
      </c>
      <c r="E120" s="16" t="s">
        <v>742</v>
      </c>
      <c r="F120" s="16" t="s">
        <v>694</v>
      </c>
      <c r="G120" s="16" t="s">
        <v>563</v>
      </c>
      <c r="H120" s="16" t="s">
        <v>476</v>
      </c>
      <c r="I120" s="16" t="s">
        <v>841</v>
      </c>
      <c r="J120" s="16" t="s">
        <v>439</v>
      </c>
      <c r="K120" s="16" t="s">
        <v>637</v>
      </c>
      <c r="L120" s="16" t="s">
        <v>638</v>
      </c>
      <c r="M120" s="17">
        <v>63223</v>
      </c>
      <c r="N120" s="17">
        <v>-404</v>
      </c>
      <c r="O120" s="17">
        <f t="shared" ref="O120:O126" si="6">M120+N120</f>
        <v>62819</v>
      </c>
      <c r="P120" s="17">
        <v>22711</v>
      </c>
    </row>
    <row r="121" spans="1:16" s="18" customFormat="1" ht="15" customHeight="1" x14ac:dyDescent="0.35">
      <c r="A121" s="16" t="s">
        <v>842</v>
      </c>
      <c r="B121" s="16" t="s">
        <v>843</v>
      </c>
      <c r="C121" s="16" t="s">
        <v>740</v>
      </c>
      <c r="D121" s="16" t="s">
        <v>840</v>
      </c>
      <c r="E121" s="16" t="s">
        <v>742</v>
      </c>
      <c r="F121" s="16" t="s">
        <v>694</v>
      </c>
      <c r="G121" s="16" t="s">
        <v>568</v>
      </c>
      <c r="H121" s="16" t="s">
        <v>564</v>
      </c>
      <c r="I121" s="16" t="s">
        <v>841</v>
      </c>
      <c r="J121" s="16" t="s">
        <v>439</v>
      </c>
      <c r="K121" s="16" t="s">
        <v>637</v>
      </c>
      <c r="L121" s="16" t="s">
        <v>493</v>
      </c>
      <c r="M121" s="17">
        <v>62091</v>
      </c>
      <c r="N121" s="17">
        <v>-30</v>
      </c>
      <c r="O121" s="17">
        <f t="shared" si="6"/>
        <v>62061</v>
      </c>
      <c r="P121" s="17">
        <v>54084</v>
      </c>
    </row>
    <row r="122" spans="1:16" s="18" customFormat="1" ht="15" customHeight="1" x14ac:dyDescent="0.35">
      <c r="A122" s="16" t="s">
        <v>844</v>
      </c>
      <c r="B122" s="16" t="s">
        <v>845</v>
      </c>
      <c r="C122" s="16" t="s">
        <v>740</v>
      </c>
      <c r="D122" s="16" t="s">
        <v>840</v>
      </c>
      <c r="E122" s="16" t="s">
        <v>742</v>
      </c>
      <c r="F122" s="16" t="s">
        <v>694</v>
      </c>
      <c r="G122" s="16" t="s">
        <v>572</v>
      </c>
      <c r="H122" s="16" t="s">
        <v>527</v>
      </c>
      <c r="I122" s="16" t="s">
        <v>841</v>
      </c>
      <c r="J122" s="16" t="s">
        <v>439</v>
      </c>
      <c r="K122" s="16" t="s">
        <v>637</v>
      </c>
      <c r="L122" s="16" t="s">
        <v>493</v>
      </c>
      <c r="M122" s="17">
        <v>28937</v>
      </c>
      <c r="N122" s="17">
        <v>-516</v>
      </c>
      <c r="O122" s="17">
        <f t="shared" si="6"/>
        <v>28421</v>
      </c>
      <c r="P122" s="17">
        <v>19277</v>
      </c>
    </row>
    <row r="123" spans="1:16" s="18" customFormat="1" ht="15" customHeight="1" x14ac:dyDescent="0.35">
      <c r="A123" s="16" t="s">
        <v>846</v>
      </c>
      <c r="B123" s="16" t="s">
        <v>847</v>
      </c>
      <c r="C123" s="16" t="s">
        <v>740</v>
      </c>
      <c r="D123" s="16" t="s">
        <v>840</v>
      </c>
      <c r="E123" s="16" t="s">
        <v>742</v>
      </c>
      <c r="F123" s="16" t="s">
        <v>694</v>
      </c>
      <c r="G123" s="16" t="s">
        <v>526</v>
      </c>
      <c r="H123" s="16" t="s">
        <v>520</v>
      </c>
      <c r="I123" s="16" t="s">
        <v>841</v>
      </c>
      <c r="J123" s="16" t="s">
        <v>439</v>
      </c>
      <c r="K123" s="16" t="s">
        <v>637</v>
      </c>
      <c r="L123" s="16" t="s">
        <v>493</v>
      </c>
      <c r="M123" s="17">
        <v>21739</v>
      </c>
      <c r="N123" s="17">
        <v>-77</v>
      </c>
      <c r="O123" s="17">
        <f t="shared" si="6"/>
        <v>21662</v>
      </c>
      <c r="P123" s="17">
        <v>47236</v>
      </c>
    </row>
    <row r="124" spans="1:16" s="18" customFormat="1" ht="15" customHeight="1" x14ac:dyDescent="0.35">
      <c r="A124" s="16" t="s">
        <v>848</v>
      </c>
      <c r="B124" s="16" t="s">
        <v>849</v>
      </c>
      <c r="C124" s="16" t="s">
        <v>740</v>
      </c>
      <c r="D124" s="16" t="s">
        <v>840</v>
      </c>
      <c r="E124" s="16" t="s">
        <v>742</v>
      </c>
      <c r="F124" s="16" t="s">
        <v>694</v>
      </c>
      <c r="G124" s="16" t="s">
        <v>531</v>
      </c>
      <c r="H124" s="16" t="s">
        <v>490</v>
      </c>
      <c r="I124" s="16" t="s">
        <v>841</v>
      </c>
      <c r="J124" s="16" t="s">
        <v>439</v>
      </c>
      <c r="K124" s="16" t="s">
        <v>637</v>
      </c>
      <c r="L124" s="16" t="s">
        <v>493</v>
      </c>
      <c r="M124" s="17">
        <v>84318</v>
      </c>
      <c r="N124" s="17">
        <v>-207</v>
      </c>
      <c r="O124" s="17">
        <f t="shared" si="6"/>
        <v>84111</v>
      </c>
      <c r="P124" s="17">
        <v>65593</v>
      </c>
    </row>
    <row r="125" spans="1:16" s="18" customFormat="1" ht="15" customHeight="1" x14ac:dyDescent="0.35">
      <c r="A125" s="16" t="s">
        <v>850</v>
      </c>
      <c r="B125" s="16" t="s">
        <v>851</v>
      </c>
      <c r="C125" s="16" t="s">
        <v>740</v>
      </c>
      <c r="D125" s="16" t="s">
        <v>840</v>
      </c>
      <c r="E125" s="16" t="s">
        <v>742</v>
      </c>
      <c r="F125" s="16" t="s">
        <v>694</v>
      </c>
      <c r="G125" s="16" t="s">
        <v>489</v>
      </c>
      <c r="H125" s="16" t="s">
        <v>497</v>
      </c>
      <c r="I125" s="16" t="s">
        <v>841</v>
      </c>
      <c r="J125" s="16" t="s">
        <v>439</v>
      </c>
      <c r="K125" s="16" t="s">
        <v>637</v>
      </c>
      <c r="L125" s="16" t="s">
        <v>493</v>
      </c>
      <c r="M125" s="17">
        <v>37662</v>
      </c>
      <c r="N125" s="17">
        <v>-494</v>
      </c>
      <c r="O125" s="17">
        <f t="shared" si="6"/>
        <v>37168</v>
      </c>
      <c r="P125" s="17">
        <v>80282</v>
      </c>
    </row>
    <row r="126" spans="1:16" s="18" customFormat="1" ht="15" customHeight="1" x14ac:dyDescent="0.35">
      <c r="A126" s="16" t="s">
        <v>852</v>
      </c>
      <c r="B126" s="16" t="s">
        <v>853</v>
      </c>
      <c r="C126" s="16" t="s">
        <v>740</v>
      </c>
      <c r="D126" s="16" t="s">
        <v>840</v>
      </c>
      <c r="E126" s="16" t="s">
        <v>742</v>
      </c>
      <c r="F126" s="16" t="s">
        <v>694</v>
      </c>
      <c r="G126" s="16" t="s">
        <v>673</v>
      </c>
      <c r="H126" s="16" t="s">
        <v>381</v>
      </c>
      <c r="I126" s="16" t="s">
        <v>841</v>
      </c>
      <c r="J126" s="16" t="s">
        <v>439</v>
      </c>
      <c r="K126" s="16" t="s">
        <v>674</v>
      </c>
      <c r="L126" s="16" t="s">
        <v>675</v>
      </c>
      <c r="M126" s="17">
        <v>7271</v>
      </c>
      <c r="N126" s="17">
        <v>-2111</v>
      </c>
      <c r="O126" s="17">
        <f t="shared" si="6"/>
        <v>5160</v>
      </c>
      <c r="P126" s="17">
        <v>8886</v>
      </c>
    </row>
  </sheetData>
  <mergeCells count="8">
    <mergeCell ref="A98:P98"/>
    <mergeCell ref="A112:P112"/>
    <mergeCell ref="A118:P118"/>
    <mergeCell ref="A4:P4"/>
    <mergeCell ref="A26:P26"/>
    <mergeCell ref="A43:P43"/>
    <mergeCell ref="A58:P58"/>
    <mergeCell ref="A77:P7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7"/>
  <sheetViews>
    <sheetView showGridLines="0" zoomScaleNormal="100" workbookViewId="0">
      <pane ySplit="3" topLeftCell="A4" activePane="bottomLeft" state="frozen"/>
      <selection pane="bottomLeft" activeCell="A4" sqref="A4:I4"/>
    </sheetView>
  </sheetViews>
  <sheetFormatPr defaultColWidth="8.6328125" defaultRowHeight="14.5" x14ac:dyDescent="0.35"/>
  <cols>
    <col min="1" max="1" width="46" customWidth="1"/>
    <col min="2" max="6" width="16" customWidth="1"/>
    <col min="7" max="9" width="14" customWidth="1"/>
  </cols>
  <sheetData>
    <row r="1" spans="1:9" ht="17.25" customHeight="1" x14ac:dyDescent="0.4">
      <c r="A1" s="19" t="s">
        <v>927</v>
      </c>
    </row>
    <row r="2" spans="1:9" ht="15" customHeight="1" x14ac:dyDescent="0.35">
      <c r="A2" s="3"/>
    </row>
    <row r="4" spans="1:9" ht="18" customHeight="1" x14ac:dyDescent="0.35">
      <c r="A4" s="25" t="s">
        <v>928</v>
      </c>
      <c r="B4" s="26"/>
      <c r="C4" s="26"/>
      <c r="D4" s="26"/>
      <c r="E4" s="26"/>
      <c r="F4" s="26"/>
      <c r="G4" s="26"/>
      <c r="H4" s="26"/>
      <c r="I4" s="26"/>
    </row>
    <row r="5" spans="1:9" ht="25.5" customHeight="1" x14ac:dyDescent="0.35">
      <c r="A5" s="1"/>
      <c r="B5" s="1" t="s">
        <v>854</v>
      </c>
      <c r="C5" s="1" t="s">
        <v>855</v>
      </c>
      <c r="D5" s="1" t="s">
        <v>856</v>
      </c>
      <c r="E5" s="1" t="s">
        <v>857</v>
      </c>
      <c r="F5" s="1" t="s">
        <v>858</v>
      </c>
      <c r="G5" s="1" t="s">
        <v>859</v>
      </c>
      <c r="H5" s="1" t="s">
        <v>860</v>
      </c>
      <c r="I5" s="1" t="s">
        <v>861</v>
      </c>
    </row>
    <row r="6" spans="1:9" s="18" customFormat="1" ht="15" customHeight="1" x14ac:dyDescent="0.35">
      <c r="A6" s="16" t="s">
        <v>862</v>
      </c>
      <c r="B6" s="17">
        <v>317382</v>
      </c>
      <c r="C6" s="17">
        <v>282012</v>
      </c>
      <c r="D6" s="17">
        <v>1929613</v>
      </c>
      <c r="E6" s="17">
        <f t="shared" ref="E6:E14" si="0">SUM(B6:D6)</f>
        <v>2529007</v>
      </c>
      <c r="F6" s="17">
        <v>93437785</v>
      </c>
      <c r="G6" s="17">
        <v>2571824</v>
      </c>
      <c r="H6" s="17">
        <v>3431894</v>
      </c>
      <c r="I6" s="17">
        <f t="shared" ref="I6:I14" si="1">SUM(F6:H6)</f>
        <v>99441503</v>
      </c>
    </row>
    <row r="7" spans="1:9" s="18" customFormat="1" ht="15" customHeight="1" x14ac:dyDescent="0.35">
      <c r="A7" s="16" t="s">
        <v>863</v>
      </c>
      <c r="B7" s="17">
        <v>5686</v>
      </c>
      <c r="C7" s="17">
        <v>-3746</v>
      </c>
      <c r="D7" s="17">
        <v>-1940</v>
      </c>
      <c r="E7" s="17">
        <f t="shared" si="0"/>
        <v>0</v>
      </c>
      <c r="F7" s="17">
        <v>560695</v>
      </c>
      <c r="G7" s="17">
        <v>-556706</v>
      </c>
      <c r="H7" s="17">
        <v>-3989</v>
      </c>
      <c r="I7" s="17">
        <f t="shared" si="1"/>
        <v>0</v>
      </c>
    </row>
    <row r="8" spans="1:9" s="18" customFormat="1" ht="15" customHeight="1" x14ac:dyDescent="0.35">
      <c r="A8" s="16" t="s">
        <v>864</v>
      </c>
      <c r="B8" s="17">
        <v>-10500</v>
      </c>
      <c r="C8" s="17">
        <v>29632</v>
      </c>
      <c r="D8" s="17">
        <v>-19132</v>
      </c>
      <c r="E8" s="17">
        <f t="shared" si="0"/>
        <v>0</v>
      </c>
      <c r="F8" s="17">
        <v>-1941530</v>
      </c>
      <c r="G8" s="17">
        <v>2247513</v>
      </c>
      <c r="H8" s="17">
        <v>-305983</v>
      </c>
      <c r="I8" s="17">
        <f t="shared" si="1"/>
        <v>0</v>
      </c>
    </row>
    <row r="9" spans="1:9" s="18" customFormat="1" ht="15" customHeight="1" x14ac:dyDescent="0.35">
      <c r="A9" s="16" t="s">
        <v>865</v>
      </c>
      <c r="B9" s="17">
        <v>-36188</v>
      </c>
      <c r="C9" s="17">
        <v>-47311</v>
      </c>
      <c r="D9" s="17">
        <v>83499</v>
      </c>
      <c r="E9" s="17">
        <f t="shared" si="0"/>
        <v>0</v>
      </c>
      <c r="F9" s="17">
        <v>-217085</v>
      </c>
      <c r="G9" s="17">
        <v>-285355</v>
      </c>
      <c r="H9" s="17">
        <v>502440</v>
      </c>
      <c r="I9" s="17">
        <f t="shared" si="1"/>
        <v>0</v>
      </c>
    </row>
    <row r="10" spans="1:9" s="18" customFormat="1" ht="15" customHeight="1" x14ac:dyDescent="0.35">
      <c r="A10" s="16" t="s">
        <v>866</v>
      </c>
      <c r="B10" s="17">
        <v>124833</v>
      </c>
      <c r="C10" s="17">
        <v>0</v>
      </c>
      <c r="D10" s="17">
        <v>0</v>
      </c>
      <c r="E10" s="17">
        <f t="shared" si="0"/>
        <v>124833</v>
      </c>
      <c r="F10" s="17">
        <v>25182052</v>
      </c>
      <c r="G10" s="17">
        <v>0</v>
      </c>
      <c r="H10" s="17">
        <v>0</v>
      </c>
      <c r="I10" s="17">
        <f t="shared" si="1"/>
        <v>25182052</v>
      </c>
    </row>
    <row r="11" spans="1:9" s="18" customFormat="1" ht="15" customHeight="1" x14ac:dyDescent="0.35">
      <c r="A11" s="16" t="s">
        <v>867</v>
      </c>
      <c r="B11" s="17">
        <v>-32060</v>
      </c>
      <c r="C11" s="17">
        <v>-8325</v>
      </c>
      <c r="D11" s="17">
        <v>-447535</v>
      </c>
      <c r="E11" s="17">
        <f t="shared" si="0"/>
        <v>-487920</v>
      </c>
      <c r="F11" s="17">
        <v>-9580645</v>
      </c>
      <c r="G11" s="17">
        <v>-200667</v>
      </c>
      <c r="H11" s="17">
        <v>-1091870</v>
      </c>
      <c r="I11" s="17">
        <f t="shared" si="1"/>
        <v>-10873182</v>
      </c>
    </row>
    <row r="12" spans="1:9" s="18" customFormat="1" ht="15" customHeight="1" x14ac:dyDescent="0.35">
      <c r="A12" s="16" t="s">
        <v>868</v>
      </c>
      <c r="B12" s="17">
        <v>-31690</v>
      </c>
      <c r="C12" s="17">
        <v>-11585</v>
      </c>
      <c r="D12" s="17">
        <v>940153</v>
      </c>
      <c r="E12" s="17">
        <f t="shared" si="0"/>
        <v>896878</v>
      </c>
      <c r="F12" s="17">
        <v>-439242</v>
      </c>
      <c r="G12" s="17">
        <v>-501575</v>
      </c>
      <c r="H12" s="17">
        <v>920485</v>
      </c>
      <c r="I12" s="17">
        <f t="shared" si="1"/>
        <v>-20332</v>
      </c>
    </row>
    <row r="13" spans="1:9" s="18" customFormat="1" ht="15" customHeight="1" x14ac:dyDescent="0.35">
      <c r="A13" s="16" t="s">
        <v>869</v>
      </c>
      <c r="B13" s="17">
        <v>0</v>
      </c>
      <c r="C13" s="17">
        <v>0</v>
      </c>
      <c r="D13" s="17">
        <v>0</v>
      </c>
      <c r="E13" s="17">
        <f t="shared" si="0"/>
        <v>0</v>
      </c>
      <c r="F13" s="17">
        <v>194926</v>
      </c>
      <c r="G13" s="17">
        <v>0</v>
      </c>
      <c r="H13" s="17">
        <v>0</v>
      </c>
      <c r="I13" s="17">
        <f t="shared" si="1"/>
        <v>194926</v>
      </c>
    </row>
    <row r="14" spans="1:9" s="18" customFormat="1" ht="15" customHeight="1" x14ac:dyDescent="0.35">
      <c r="A14" s="16" t="s">
        <v>870</v>
      </c>
      <c r="B14" s="17">
        <v>0</v>
      </c>
      <c r="C14" s="17">
        <v>0</v>
      </c>
      <c r="D14" s="17">
        <v>-895357</v>
      </c>
      <c r="E14" s="17">
        <f t="shared" si="0"/>
        <v>-895357</v>
      </c>
      <c r="F14" s="17">
        <v>0</v>
      </c>
      <c r="G14" s="17">
        <v>0</v>
      </c>
      <c r="H14" s="17">
        <v>-895357</v>
      </c>
      <c r="I14" s="17">
        <f t="shared" si="1"/>
        <v>-895357</v>
      </c>
    </row>
    <row r="17" spans="1:9" ht="18" customHeight="1" x14ac:dyDescent="0.35">
      <c r="A17" s="25" t="s">
        <v>929</v>
      </c>
      <c r="B17" s="26"/>
      <c r="C17" s="26"/>
      <c r="D17" s="26"/>
      <c r="E17" s="26"/>
      <c r="F17" s="26"/>
      <c r="G17" s="26"/>
      <c r="H17" s="26"/>
      <c r="I17" s="26"/>
    </row>
    <row r="18" spans="1:9" ht="25.5" customHeight="1" x14ac:dyDescent="0.35">
      <c r="A18" s="1"/>
      <c r="B18" s="1" t="s">
        <v>871</v>
      </c>
      <c r="C18" s="1" t="s">
        <v>872</v>
      </c>
      <c r="D18" s="1" t="s">
        <v>873</v>
      </c>
      <c r="E18" s="1" t="s">
        <v>874</v>
      </c>
      <c r="F18" s="1" t="s">
        <v>875</v>
      </c>
      <c r="G18" s="1" t="s">
        <v>876</v>
      </c>
      <c r="H18" s="1" t="s">
        <v>877</v>
      </c>
      <c r="I18" s="1" t="s">
        <v>878</v>
      </c>
    </row>
    <row r="19" spans="1:9" s="18" customFormat="1" ht="15" customHeight="1" x14ac:dyDescent="0.35">
      <c r="A19" s="16" t="s">
        <v>40</v>
      </c>
      <c r="B19" s="17">
        <v>68288436</v>
      </c>
      <c r="C19" s="17">
        <v>2838897</v>
      </c>
      <c r="D19" s="17">
        <v>2239885</v>
      </c>
      <c r="E19" s="17">
        <f>SUM(B19:D19)</f>
        <v>73367218</v>
      </c>
      <c r="F19" s="17">
        <v>-185975</v>
      </c>
      <c r="G19" s="17">
        <v>-234401</v>
      </c>
      <c r="H19" s="17">
        <v>-1438313</v>
      </c>
      <c r="I19" s="17">
        <f>SUM(F19:H19)</f>
        <v>-1858689</v>
      </c>
    </row>
    <row r="20" spans="1:9" s="18" customFormat="1" ht="15" customHeight="1" x14ac:dyDescent="0.35">
      <c r="A20" s="16" t="s">
        <v>45</v>
      </c>
      <c r="B20" s="17">
        <v>38908520</v>
      </c>
      <c r="C20" s="17">
        <v>436137</v>
      </c>
      <c r="D20" s="17">
        <v>317735</v>
      </c>
      <c r="E20" s="17">
        <f>SUM(B20:D20)</f>
        <v>39662392</v>
      </c>
      <c r="F20" s="17">
        <v>-151488</v>
      </c>
      <c r="G20" s="17">
        <v>-6276</v>
      </c>
      <c r="H20" s="17">
        <v>-150988</v>
      </c>
      <c r="I20" s="17">
        <f>SUM(F20:H20)</f>
        <v>-308752</v>
      </c>
    </row>
    <row r="23" spans="1:9" ht="18" customHeight="1" x14ac:dyDescent="0.35">
      <c r="A23" s="25" t="s">
        <v>930</v>
      </c>
      <c r="B23" s="26"/>
      <c r="C23" s="26"/>
      <c r="D23" s="26"/>
      <c r="E23" s="26"/>
    </row>
    <row r="24" spans="1:9" ht="25.5" customHeight="1" x14ac:dyDescent="0.35">
      <c r="A24" s="1"/>
      <c r="B24" s="1" t="s">
        <v>879</v>
      </c>
      <c r="C24" s="1" t="s">
        <v>880</v>
      </c>
      <c r="D24" s="1" t="s">
        <v>881</v>
      </c>
      <c r="E24" s="1"/>
    </row>
    <row r="25" spans="1:9" s="18" customFormat="1" ht="15" customHeight="1" x14ac:dyDescent="0.35">
      <c r="A25" s="16" t="s">
        <v>882</v>
      </c>
      <c r="B25" s="17">
        <v>2213105</v>
      </c>
      <c r="C25" s="17">
        <v>315902</v>
      </c>
      <c r="D25" s="17">
        <f>B25+C25</f>
        <v>2529007</v>
      </c>
      <c r="E25" s="16"/>
    </row>
    <row r="26" spans="1:9" s="18" customFormat="1" ht="15" customHeight="1" x14ac:dyDescent="0.35">
      <c r="A26" s="16" t="s">
        <v>883</v>
      </c>
      <c r="B26" s="17">
        <v>575902</v>
      </c>
      <c r="C26" s="17">
        <v>95881</v>
      </c>
      <c r="D26" s="17">
        <f>B26+C26</f>
        <v>671783</v>
      </c>
      <c r="E26" s="16"/>
    </row>
    <row r="27" spans="1:9" s="18" customFormat="1" ht="15" customHeight="1" x14ac:dyDescent="0.35">
      <c r="A27" s="16" t="s">
        <v>884</v>
      </c>
      <c r="B27" s="17">
        <v>-850869</v>
      </c>
      <c r="C27" s="17">
        <v>-44488</v>
      </c>
      <c r="D27" s="17">
        <f>B27+C27</f>
        <v>-895357</v>
      </c>
      <c r="E27" s="16"/>
    </row>
    <row r="28" spans="1:9" s="18" customFormat="1" ht="15" customHeight="1" x14ac:dyDescent="0.35">
      <c r="A28" s="16" t="s">
        <v>885</v>
      </c>
      <c r="B28" s="17">
        <v>-79449</v>
      </c>
      <c r="C28" s="17">
        <v>-58543</v>
      </c>
      <c r="D28" s="17">
        <f>B28+C28</f>
        <v>-137992</v>
      </c>
      <c r="E28" s="16"/>
    </row>
    <row r="31" spans="1:9" ht="18" customHeight="1" x14ac:dyDescent="0.35">
      <c r="A31" s="25" t="s">
        <v>931</v>
      </c>
      <c r="B31" s="26"/>
      <c r="C31" s="26"/>
      <c r="D31" s="26"/>
      <c r="E31" s="26"/>
    </row>
    <row r="32" spans="1:9" ht="25.5" customHeight="1" x14ac:dyDescent="0.35">
      <c r="A32" s="1"/>
      <c r="B32" s="1" t="s">
        <v>390</v>
      </c>
      <c r="C32" s="1" t="s">
        <v>381</v>
      </c>
      <c r="D32" s="1"/>
      <c r="E32" s="1"/>
    </row>
    <row r="33" spans="1:6" s="18" customFormat="1" ht="15" customHeight="1" x14ac:dyDescent="0.35">
      <c r="A33" s="16" t="s">
        <v>202</v>
      </c>
      <c r="B33" s="17">
        <v>671783</v>
      </c>
      <c r="C33" s="17">
        <v>526381</v>
      </c>
      <c r="D33" s="16"/>
      <c r="E33" s="16"/>
    </row>
    <row r="34" spans="1:6" s="18" customFormat="1" ht="15" customHeight="1" x14ac:dyDescent="0.35">
      <c r="A34" s="16" t="s">
        <v>204</v>
      </c>
      <c r="B34" s="17">
        <v>-137992</v>
      </c>
      <c r="C34" s="17">
        <v>-204401</v>
      </c>
      <c r="D34" s="16"/>
      <c r="E34" s="16"/>
    </row>
    <row r="35" spans="1:6" s="18" customFormat="1" ht="15" customHeight="1" x14ac:dyDescent="0.35">
      <c r="A35" s="16" t="s">
        <v>205</v>
      </c>
      <c r="B35" s="17">
        <v>-154324</v>
      </c>
      <c r="C35" s="17">
        <v>-26830</v>
      </c>
      <c r="D35" s="16"/>
      <c r="E35" s="16"/>
    </row>
    <row r="36" spans="1:6" s="18" customFormat="1" ht="15" customHeight="1" x14ac:dyDescent="0.35">
      <c r="A36" s="16" t="s">
        <v>206</v>
      </c>
      <c r="B36" s="17">
        <v>917</v>
      </c>
      <c r="C36" s="17">
        <v>611</v>
      </c>
      <c r="D36" s="16"/>
      <c r="E36" s="16"/>
    </row>
    <row r="37" spans="1:6" s="18" customFormat="1" ht="15" customHeight="1" x14ac:dyDescent="0.35">
      <c r="A37" s="16" t="s">
        <v>207</v>
      </c>
      <c r="B37" s="17">
        <v>1254</v>
      </c>
      <c r="C37" s="17">
        <v>258</v>
      </c>
      <c r="D37" s="16"/>
      <c r="E37" s="16"/>
    </row>
    <row r="38" spans="1:6" s="18" customFormat="1" ht="15" customHeight="1" x14ac:dyDescent="0.35">
      <c r="A38" s="16" t="s">
        <v>886</v>
      </c>
      <c r="B38" s="17">
        <v>-27894</v>
      </c>
      <c r="C38" s="17">
        <v>21441</v>
      </c>
      <c r="D38" s="16"/>
      <c r="E38" s="16"/>
    </row>
    <row r="39" spans="1:6" s="18" customFormat="1" ht="15" customHeight="1" x14ac:dyDescent="0.35">
      <c r="A39" s="16" t="s">
        <v>887</v>
      </c>
      <c r="B39" s="17">
        <v>0</v>
      </c>
      <c r="C39" s="17">
        <v>-42571</v>
      </c>
      <c r="D39" s="16"/>
      <c r="E39" s="16"/>
    </row>
    <row r="42" spans="1:6" ht="18" customHeight="1" x14ac:dyDescent="0.35">
      <c r="A42" s="25" t="s">
        <v>932</v>
      </c>
      <c r="B42" s="26"/>
      <c r="C42" s="26"/>
      <c r="D42" s="26"/>
      <c r="E42" s="26"/>
      <c r="F42" s="26"/>
    </row>
    <row r="43" spans="1:6" ht="25.5" customHeight="1" x14ac:dyDescent="0.35">
      <c r="A43" s="1" t="s">
        <v>219</v>
      </c>
      <c r="B43" s="1" t="s">
        <v>642</v>
      </c>
      <c r="C43" s="1" t="s">
        <v>635</v>
      </c>
      <c r="D43" s="1" t="s">
        <v>647</v>
      </c>
      <c r="E43" s="1" t="s">
        <v>694</v>
      </c>
      <c r="F43" s="1" t="s">
        <v>888</v>
      </c>
    </row>
    <row r="44" spans="1:6" s="18" customFormat="1" ht="15" customHeight="1" x14ac:dyDescent="0.35">
      <c r="A44" s="16" t="s">
        <v>633</v>
      </c>
      <c r="B44" s="17">
        <v>40368183</v>
      </c>
      <c r="C44" s="17">
        <v>8176441</v>
      </c>
      <c r="D44" s="17">
        <v>1594430</v>
      </c>
      <c r="E44" s="17">
        <v>1178754</v>
      </c>
      <c r="F44" s="17">
        <f t="shared" ref="F44:F51" si="2">SUM(B44:E44)</f>
        <v>51317808</v>
      </c>
    </row>
    <row r="45" spans="1:6" s="18" customFormat="1" ht="15" customHeight="1" x14ac:dyDescent="0.35">
      <c r="A45" s="16" t="s">
        <v>686</v>
      </c>
      <c r="B45" s="17">
        <v>7220081</v>
      </c>
      <c r="C45" s="17">
        <v>0</v>
      </c>
      <c r="D45" s="17">
        <v>11492</v>
      </c>
      <c r="E45" s="17">
        <v>381067</v>
      </c>
      <c r="F45" s="17">
        <f t="shared" si="2"/>
        <v>7612640</v>
      </c>
    </row>
    <row r="46" spans="1:6" s="18" customFormat="1" ht="15" customHeight="1" x14ac:dyDescent="0.35">
      <c r="A46" s="16" t="s">
        <v>715</v>
      </c>
      <c r="B46" s="17">
        <v>11575212</v>
      </c>
      <c r="C46" s="17">
        <v>1851271</v>
      </c>
      <c r="D46" s="17">
        <v>228199</v>
      </c>
      <c r="E46" s="17">
        <v>782088</v>
      </c>
      <c r="F46" s="17">
        <f t="shared" si="2"/>
        <v>14436770</v>
      </c>
    </row>
    <row r="47" spans="1:6" s="18" customFormat="1" ht="15" customHeight="1" x14ac:dyDescent="0.35">
      <c r="A47" s="16" t="s">
        <v>741</v>
      </c>
      <c r="B47" s="17">
        <v>3572</v>
      </c>
      <c r="C47" s="17">
        <v>11785348</v>
      </c>
      <c r="D47" s="17">
        <v>0</v>
      </c>
      <c r="E47" s="17">
        <v>34492</v>
      </c>
      <c r="F47" s="17">
        <f t="shared" si="2"/>
        <v>11823412</v>
      </c>
    </row>
    <row r="48" spans="1:6" s="18" customFormat="1" ht="15" customHeight="1" x14ac:dyDescent="0.35">
      <c r="A48" s="16" t="s">
        <v>774</v>
      </c>
      <c r="B48" s="17">
        <v>1371312</v>
      </c>
      <c r="C48" s="17">
        <v>19050256</v>
      </c>
      <c r="D48" s="17">
        <v>3155777</v>
      </c>
      <c r="E48" s="17">
        <v>0</v>
      </c>
      <c r="F48" s="17">
        <f t="shared" si="2"/>
        <v>23577345</v>
      </c>
    </row>
    <row r="49" spans="1:6" s="18" customFormat="1" ht="15" customHeight="1" x14ac:dyDescent="0.35">
      <c r="A49" s="16" t="s">
        <v>810</v>
      </c>
      <c r="B49" s="17">
        <v>0</v>
      </c>
      <c r="C49" s="17">
        <v>0</v>
      </c>
      <c r="D49" s="17">
        <v>3076497</v>
      </c>
      <c r="E49" s="17">
        <v>0</v>
      </c>
      <c r="F49" s="17">
        <f t="shared" si="2"/>
        <v>3076497</v>
      </c>
    </row>
    <row r="50" spans="1:6" s="18" customFormat="1" ht="15" customHeight="1" x14ac:dyDescent="0.35">
      <c r="A50" s="16" t="s">
        <v>832</v>
      </c>
      <c r="B50" s="17">
        <v>879897</v>
      </c>
      <c r="C50" s="17">
        <v>0</v>
      </c>
      <c r="D50" s="17">
        <v>0</v>
      </c>
      <c r="E50" s="17">
        <v>0</v>
      </c>
      <c r="F50" s="17">
        <f t="shared" si="2"/>
        <v>879897</v>
      </c>
    </row>
    <row r="51" spans="1:6" s="18" customFormat="1" ht="15" customHeight="1" x14ac:dyDescent="0.35">
      <c r="A51" s="16" t="s">
        <v>840</v>
      </c>
      <c r="B51" s="17">
        <v>9648</v>
      </c>
      <c r="C51" s="17">
        <v>262</v>
      </c>
      <c r="D51" s="17">
        <v>2177</v>
      </c>
      <c r="E51" s="17">
        <v>293154</v>
      </c>
      <c r="F51" s="17">
        <f t="shared" si="2"/>
        <v>305241</v>
      </c>
    </row>
    <row r="54" spans="1:6" ht="18" customHeight="1" x14ac:dyDescent="0.35">
      <c r="A54" s="25" t="s">
        <v>933</v>
      </c>
      <c r="B54" s="26"/>
      <c r="C54" s="26"/>
      <c r="D54" s="26"/>
      <c r="E54" s="26"/>
    </row>
    <row r="55" spans="1:6" ht="25.5" customHeight="1" x14ac:dyDescent="0.35">
      <c r="A55" s="1" t="s">
        <v>889</v>
      </c>
      <c r="B55" s="1" t="s">
        <v>637</v>
      </c>
      <c r="C55" s="1" t="s">
        <v>674</v>
      </c>
      <c r="D55" s="1" t="s">
        <v>890</v>
      </c>
      <c r="E55" s="1" t="s">
        <v>39</v>
      </c>
    </row>
    <row r="56" spans="1:6" s="18" customFormat="1" ht="15" customHeight="1" x14ac:dyDescent="0.35">
      <c r="A56" s="16" t="s">
        <v>666</v>
      </c>
      <c r="B56" s="17">
        <v>7820990</v>
      </c>
      <c r="C56" s="17">
        <v>0</v>
      </c>
      <c r="D56" s="17">
        <v>-29741</v>
      </c>
      <c r="E56" s="17">
        <f t="shared" ref="E56:E67" si="3">B56+C56+D56</f>
        <v>7791249</v>
      </c>
    </row>
    <row r="57" spans="1:6" s="18" customFormat="1" ht="15" customHeight="1" x14ac:dyDescent="0.35">
      <c r="A57" s="16" t="s">
        <v>891</v>
      </c>
      <c r="B57" s="17">
        <v>5004578</v>
      </c>
      <c r="C57" s="17">
        <v>0</v>
      </c>
      <c r="D57" s="17">
        <v>-8099</v>
      </c>
      <c r="E57" s="17">
        <f t="shared" si="3"/>
        <v>4996479</v>
      </c>
    </row>
    <row r="58" spans="1:6" s="18" customFormat="1" ht="15" customHeight="1" x14ac:dyDescent="0.35">
      <c r="A58" s="16" t="s">
        <v>634</v>
      </c>
      <c r="B58" s="17">
        <v>2928713</v>
      </c>
      <c r="C58" s="17">
        <v>14502</v>
      </c>
      <c r="D58" s="17">
        <v>-160257</v>
      </c>
      <c r="E58" s="17">
        <f t="shared" si="3"/>
        <v>2782958</v>
      </c>
    </row>
    <row r="59" spans="1:6" s="18" customFormat="1" ht="15" customHeight="1" x14ac:dyDescent="0.35">
      <c r="A59" s="16" t="s">
        <v>892</v>
      </c>
      <c r="B59" s="17">
        <v>1077419</v>
      </c>
      <c r="C59" s="17">
        <v>0</v>
      </c>
      <c r="D59" s="17">
        <v>-82</v>
      </c>
      <c r="E59" s="17">
        <f t="shared" si="3"/>
        <v>1077337</v>
      </c>
    </row>
    <row r="60" spans="1:6" s="18" customFormat="1" ht="15" customHeight="1" x14ac:dyDescent="0.35">
      <c r="A60" s="16" t="s">
        <v>893</v>
      </c>
      <c r="B60" s="17">
        <v>140191</v>
      </c>
      <c r="C60" s="17">
        <v>0</v>
      </c>
      <c r="D60" s="17">
        <v>-487</v>
      </c>
      <c r="E60" s="17">
        <f t="shared" si="3"/>
        <v>139704</v>
      </c>
    </row>
    <row r="61" spans="1:6" s="18" customFormat="1" ht="15" customHeight="1" x14ac:dyDescent="0.35">
      <c r="A61" s="16" t="s">
        <v>641</v>
      </c>
      <c r="B61" s="17">
        <v>3536371</v>
      </c>
      <c r="C61" s="17">
        <v>560050</v>
      </c>
      <c r="D61" s="17">
        <v>-516259</v>
      </c>
      <c r="E61" s="17">
        <f t="shared" si="3"/>
        <v>3580162</v>
      </c>
    </row>
    <row r="62" spans="1:6" s="18" customFormat="1" ht="15" customHeight="1" x14ac:dyDescent="0.35">
      <c r="A62" s="16" t="s">
        <v>652</v>
      </c>
      <c r="B62" s="17">
        <v>26097284</v>
      </c>
      <c r="C62" s="17">
        <v>219240</v>
      </c>
      <c r="D62" s="17">
        <v>-602180</v>
      </c>
      <c r="E62" s="17">
        <f t="shared" si="3"/>
        <v>25714344</v>
      </c>
    </row>
    <row r="63" spans="1:6" s="18" customFormat="1" ht="15" customHeight="1" x14ac:dyDescent="0.35">
      <c r="A63" s="16" t="s">
        <v>716</v>
      </c>
      <c r="B63" s="17">
        <v>708047</v>
      </c>
      <c r="C63" s="17">
        <v>0</v>
      </c>
      <c r="D63" s="17">
        <v>-2496</v>
      </c>
      <c r="E63" s="17">
        <f t="shared" si="3"/>
        <v>705551</v>
      </c>
    </row>
    <row r="64" spans="1:6" s="18" customFormat="1" ht="15" customHeight="1" x14ac:dyDescent="0.35">
      <c r="A64" s="16" t="s">
        <v>663</v>
      </c>
      <c r="B64" s="17">
        <v>4864225</v>
      </c>
      <c r="C64" s="17">
        <v>64420</v>
      </c>
      <c r="D64" s="17">
        <v>-304780</v>
      </c>
      <c r="E64" s="17">
        <f t="shared" si="3"/>
        <v>4623865</v>
      </c>
    </row>
    <row r="65" spans="1:5" s="18" customFormat="1" ht="15" customHeight="1" x14ac:dyDescent="0.35">
      <c r="A65" s="16" t="s">
        <v>742</v>
      </c>
      <c r="B65" s="17">
        <v>39131004</v>
      </c>
      <c r="C65" s="17">
        <v>226409</v>
      </c>
      <c r="D65" s="17">
        <v>-304913</v>
      </c>
      <c r="E65" s="17">
        <f t="shared" si="3"/>
        <v>39052500</v>
      </c>
    </row>
    <row r="66" spans="1:5" s="18" customFormat="1" ht="15" customHeight="1" x14ac:dyDescent="0.35">
      <c r="A66" s="16" t="s">
        <v>894</v>
      </c>
      <c r="B66" s="17">
        <v>2494122</v>
      </c>
      <c r="C66" s="17">
        <v>0</v>
      </c>
      <c r="D66" s="17">
        <v>0</v>
      </c>
      <c r="E66" s="17">
        <f t="shared" si="3"/>
        <v>2494122</v>
      </c>
    </row>
    <row r="67" spans="1:5" s="18" customFormat="1" ht="15" customHeight="1" x14ac:dyDescent="0.35">
      <c r="A67" s="16" t="s">
        <v>59</v>
      </c>
      <c r="B67" s="17">
        <v>18062007</v>
      </c>
      <c r="C67" s="17">
        <v>80038</v>
      </c>
      <c r="D67" s="17">
        <v>-238147</v>
      </c>
      <c r="E67" s="17">
        <f t="shared" si="3"/>
        <v>17903898</v>
      </c>
    </row>
    <row r="70" spans="1:5" ht="18" customHeight="1" x14ac:dyDescent="0.35">
      <c r="A70" s="26" t="s">
        <v>895</v>
      </c>
      <c r="B70" s="26"/>
      <c r="C70" s="26"/>
    </row>
    <row r="71" spans="1:5" ht="25.5" customHeight="1" x14ac:dyDescent="0.35">
      <c r="A71" s="1"/>
      <c r="B71" s="1" t="s">
        <v>390</v>
      </c>
      <c r="C71" s="1" t="s">
        <v>381</v>
      </c>
    </row>
    <row r="72" spans="1:5" s="18" customFormat="1" ht="15" customHeight="1" x14ac:dyDescent="0.35">
      <c r="A72" s="16" t="s">
        <v>896</v>
      </c>
      <c r="B72" s="17">
        <v>139970</v>
      </c>
      <c r="C72" s="17">
        <v>542004</v>
      </c>
    </row>
    <row r="73" spans="1:5" s="18" customFormat="1" ht="15" customHeight="1" x14ac:dyDescent="0.35">
      <c r="A73" s="16" t="s">
        <v>897</v>
      </c>
      <c r="B73" s="17">
        <v>7457</v>
      </c>
      <c r="C73" s="17">
        <v>991</v>
      </c>
    </row>
    <row r="74" spans="1:5" s="18" customFormat="1" ht="15" customHeight="1" x14ac:dyDescent="0.35">
      <c r="A74" s="16" t="s">
        <v>898</v>
      </c>
      <c r="B74" s="17">
        <v>-21174</v>
      </c>
      <c r="C74" s="17">
        <v>-403025</v>
      </c>
    </row>
    <row r="75" spans="1:5" s="18" customFormat="1" ht="15" customHeight="1" x14ac:dyDescent="0.35">
      <c r="A75" s="23" t="s">
        <v>899</v>
      </c>
      <c r="B75" s="24">
        <f>SUM(B72:B74)</f>
        <v>126253</v>
      </c>
      <c r="C75" s="24">
        <f>SUM(C72:C74)</f>
        <v>139970</v>
      </c>
    </row>
    <row r="76" spans="1:5" s="18" customFormat="1" ht="15" customHeight="1" x14ac:dyDescent="0.35">
      <c r="A76" s="16" t="s">
        <v>53</v>
      </c>
      <c r="B76" s="17">
        <v>-253</v>
      </c>
      <c r="C76" s="17">
        <v>-253</v>
      </c>
    </row>
    <row r="77" spans="1:5" s="18" customFormat="1" ht="15" customHeight="1" x14ac:dyDescent="0.35">
      <c r="A77" s="23" t="s">
        <v>900</v>
      </c>
      <c r="B77" s="24">
        <f>B75+B76</f>
        <v>126000</v>
      </c>
      <c r="C77" s="24">
        <f>C75+C76</f>
        <v>139717</v>
      </c>
    </row>
  </sheetData>
  <mergeCells count="7">
    <mergeCell ref="A54:E54"/>
    <mergeCell ref="A70:C70"/>
    <mergeCell ref="A4:I4"/>
    <mergeCell ref="A17:I17"/>
    <mergeCell ref="A23:E23"/>
    <mergeCell ref="A31:E31"/>
    <mergeCell ref="A42:F4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962CB-C0A6-41E7-B9CC-BE0A3EC195F5}">
  <dimension ref="A1:G39"/>
  <sheetViews>
    <sheetView workbookViewId="0">
      <selection activeCell="A13" sqref="A13"/>
    </sheetView>
  </sheetViews>
  <sheetFormatPr defaultColWidth="8.6328125" defaultRowHeight="14.5" x14ac:dyDescent="0.35"/>
  <cols>
    <col min="1" max="1" width="50" style="28" customWidth="1"/>
    <col min="2" max="2" width="20" style="28" customWidth="1"/>
    <col min="3" max="4" width="16" style="28" customWidth="1"/>
    <col min="5" max="5" width="14" style="28" customWidth="1"/>
    <col min="6" max="6" width="30" style="28" customWidth="1"/>
    <col min="7" max="7" width="23.81640625" style="28" bestFit="1" customWidth="1"/>
    <col min="8" max="16384" width="8.6328125" style="28"/>
  </cols>
  <sheetData>
    <row r="1" spans="1:6" ht="17.25" customHeight="1" x14ac:dyDescent="0.4">
      <c r="A1" s="27" t="s">
        <v>934</v>
      </c>
    </row>
    <row r="3" spans="1:6" ht="18" customHeight="1" x14ac:dyDescent="0.35">
      <c r="A3" s="29" t="s">
        <v>935</v>
      </c>
      <c r="B3" s="29"/>
      <c r="C3" s="29"/>
      <c r="D3" s="29"/>
      <c r="E3" s="29"/>
      <c r="F3" s="29"/>
    </row>
    <row r="4" spans="1:6" ht="25.5" customHeight="1" x14ac:dyDescent="0.35">
      <c r="A4" s="30" t="s">
        <v>936</v>
      </c>
      <c r="B4" s="30" t="s">
        <v>937</v>
      </c>
      <c r="C4" s="30" t="s">
        <v>938</v>
      </c>
      <c r="D4" s="30" t="s">
        <v>939</v>
      </c>
      <c r="E4" s="30" t="s">
        <v>425</v>
      </c>
      <c r="F4" s="30" t="s">
        <v>940</v>
      </c>
    </row>
    <row r="5" spans="1:6" ht="15" customHeight="1" x14ac:dyDescent="0.35">
      <c r="A5" s="31" t="s">
        <v>941</v>
      </c>
      <c r="B5" s="31" t="s">
        <v>942</v>
      </c>
      <c r="C5" s="32">
        <v>27118</v>
      </c>
      <c r="D5" s="32">
        <v>51794</v>
      </c>
      <c r="E5" s="31" t="s">
        <v>439</v>
      </c>
      <c r="F5" s="31"/>
    </row>
    <row r="6" spans="1:6" ht="15" customHeight="1" x14ac:dyDescent="0.35">
      <c r="A6" s="31" t="s">
        <v>943</v>
      </c>
      <c r="B6" s="31" t="s">
        <v>944</v>
      </c>
      <c r="C6" s="32">
        <v>24069</v>
      </c>
      <c r="D6" s="32">
        <v>12160</v>
      </c>
      <c r="E6" s="31" t="s">
        <v>439</v>
      </c>
      <c r="F6" s="31"/>
    </row>
    <row r="7" spans="1:6" ht="15" customHeight="1" x14ac:dyDescent="0.35">
      <c r="A7" s="31" t="s">
        <v>945</v>
      </c>
      <c r="B7" s="31" t="s">
        <v>946</v>
      </c>
      <c r="C7" s="32">
        <v>41322</v>
      </c>
      <c r="D7" s="32">
        <v>41971</v>
      </c>
      <c r="E7" s="31" t="s">
        <v>439</v>
      </c>
      <c r="F7" s="31"/>
    </row>
    <row r="8" spans="1:6" ht="15" customHeight="1" x14ac:dyDescent="0.35">
      <c r="A8" s="31" t="s">
        <v>947</v>
      </c>
      <c r="B8" s="31" t="s">
        <v>948</v>
      </c>
      <c r="C8" s="32">
        <v>40053</v>
      </c>
      <c r="D8" s="32">
        <v>29025</v>
      </c>
      <c r="E8" s="31" t="s">
        <v>439</v>
      </c>
      <c r="F8" s="31"/>
    </row>
    <row r="9" spans="1:6" ht="15" customHeight="1" x14ac:dyDescent="0.35">
      <c r="A9" s="31" t="s">
        <v>949</v>
      </c>
      <c r="B9" s="31" t="s">
        <v>950</v>
      </c>
      <c r="C9" s="32">
        <v>40016</v>
      </c>
      <c r="D9" s="32">
        <v>36896</v>
      </c>
      <c r="E9" s="31" t="s">
        <v>439</v>
      </c>
      <c r="F9" s="31"/>
    </row>
    <row r="10" spans="1:6" ht="15" customHeight="1" x14ac:dyDescent="0.35">
      <c r="A10" s="31" t="s">
        <v>951</v>
      </c>
      <c r="B10" s="31" t="s">
        <v>952</v>
      </c>
      <c r="C10" s="32">
        <v>22532</v>
      </c>
      <c r="D10" s="32">
        <v>29213</v>
      </c>
      <c r="E10" s="31" t="s">
        <v>439</v>
      </c>
      <c r="F10" s="31"/>
    </row>
    <row r="11" spans="1:6" ht="15" customHeight="1" x14ac:dyDescent="0.35">
      <c r="A11" s="31" t="s">
        <v>953</v>
      </c>
      <c r="B11" s="31" t="s">
        <v>954</v>
      </c>
      <c r="C11" s="32">
        <v>46978</v>
      </c>
      <c r="D11" s="32">
        <v>29010</v>
      </c>
      <c r="E11" s="31" t="s">
        <v>439</v>
      </c>
      <c r="F11" s="31"/>
    </row>
    <row r="12" spans="1:6" ht="15" customHeight="1" x14ac:dyDescent="0.35">
      <c r="A12" s="31" t="s">
        <v>955</v>
      </c>
      <c r="B12" s="31" t="s">
        <v>956</v>
      </c>
      <c r="C12" s="32">
        <v>13601</v>
      </c>
      <c r="D12" s="32">
        <v>44149</v>
      </c>
      <c r="E12" s="31" t="s">
        <v>439</v>
      </c>
      <c r="F12" s="31"/>
    </row>
    <row r="13" spans="1:6" ht="15" customHeight="1" x14ac:dyDescent="0.35">
      <c r="A13" s="31" t="s">
        <v>957</v>
      </c>
      <c r="B13" s="31" t="s">
        <v>958</v>
      </c>
      <c r="C13" s="32">
        <v>39904</v>
      </c>
      <c r="D13" s="32">
        <v>52764</v>
      </c>
      <c r="E13" s="31" t="s">
        <v>439</v>
      </c>
      <c r="F13" s="31"/>
    </row>
    <row r="14" spans="1:6" ht="15" customHeight="1" x14ac:dyDescent="0.35">
      <c r="A14" s="31" t="s">
        <v>959</v>
      </c>
      <c r="B14" s="31" t="s">
        <v>960</v>
      </c>
      <c r="C14" s="32">
        <v>34589</v>
      </c>
      <c r="D14" s="32">
        <v>16207</v>
      </c>
      <c r="E14" s="31" t="s">
        <v>439</v>
      </c>
      <c r="F14" s="31"/>
    </row>
    <row r="15" spans="1:6" ht="15" customHeight="1" x14ac:dyDescent="0.35">
      <c r="A15" s="31" t="s">
        <v>961</v>
      </c>
      <c r="B15" s="31" t="s">
        <v>962</v>
      </c>
      <c r="C15" s="32">
        <v>13607</v>
      </c>
      <c r="D15" s="32">
        <v>48848</v>
      </c>
      <c r="E15" s="31" t="s">
        <v>439</v>
      </c>
      <c r="F15" s="31"/>
    </row>
    <row r="16" spans="1:6" ht="15" customHeight="1" x14ac:dyDescent="0.35">
      <c r="A16" s="31" t="s">
        <v>963</v>
      </c>
      <c r="B16" s="31" t="s">
        <v>964</v>
      </c>
      <c r="C16" s="32">
        <v>46538</v>
      </c>
      <c r="D16" s="32">
        <v>40898</v>
      </c>
      <c r="E16" s="31" t="s">
        <v>439</v>
      </c>
      <c r="F16" s="31"/>
    </row>
    <row r="17" spans="1:7" ht="15" customHeight="1" x14ac:dyDescent="0.35">
      <c r="A17" s="31" t="s">
        <v>965</v>
      </c>
      <c r="B17" s="31" t="s">
        <v>966</v>
      </c>
      <c r="C17" s="32">
        <v>34869</v>
      </c>
      <c r="D17" s="32">
        <v>32960</v>
      </c>
      <c r="E17" s="31" t="s">
        <v>439</v>
      </c>
      <c r="F17" s="31"/>
    </row>
    <row r="18" spans="1:7" ht="15" customHeight="1" x14ac:dyDescent="0.35">
      <c r="A18" s="31" t="s">
        <v>967</v>
      </c>
      <c r="B18" s="31" t="s">
        <v>968</v>
      </c>
      <c r="C18" s="32">
        <v>8661</v>
      </c>
      <c r="D18" s="32">
        <v>44751</v>
      </c>
      <c r="E18" s="31" t="s">
        <v>439</v>
      </c>
      <c r="F18" s="31"/>
    </row>
    <row r="19" spans="1:7" ht="15" customHeight="1" x14ac:dyDescent="0.35">
      <c r="A19" s="31" t="s">
        <v>969</v>
      </c>
      <c r="B19" s="31" t="s">
        <v>970</v>
      </c>
      <c r="C19" s="32">
        <v>38293</v>
      </c>
      <c r="D19" s="32">
        <v>48329</v>
      </c>
      <c r="E19" s="31" t="s">
        <v>439</v>
      </c>
      <c r="F19" s="31"/>
    </row>
    <row r="20" spans="1:7" ht="15" customHeight="1" x14ac:dyDescent="0.35">
      <c r="A20" s="31" t="s">
        <v>971</v>
      </c>
      <c r="B20" s="31" t="s">
        <v>972</v>
      </c>
      <c r="C20" s="32">
        <v>34930</v>
      </c>
      <c r="D20" s="32">
        <v>44627</v>
      </c>
      <c r="E20" s="31" t="s">
        <v>453</v>
      </c>
      <c r="F20" s="31"/>
    </row>
    <row r="21" spans="1:7" ht="15" customHeight="1" x14ac:dyDescent="0.35">
      <c r="A21" s="31" t="s">
        <v>973</v>
      </c>
      <c r="B21" s="31" t="s">
        <v>974</v>
      </c>
      <c r="C21" s="32">
        <v>28386</v>
      </c>
      <c r="D21" s="32">
        <v>33406</v>
      </c>
      <c r="E21" s="31" t="s">
        <v>975</v>
      </c>
      <c r="F21" s="31"/>
    </row>
    <row r="22" spans="1:7" ht="15" customHeight="1" x14ac:dyDescent="0.35">
      <c r="A22" s="31" t="s">
        <v>976</v>
      </c>
      <c r="B22" s="31" t="s">
        <v>977</v>
      </c>
      <c r="C22" s="32">
        <v>5956</v>
      </c>
      <c r="D22" s="32">
        <v>51906</v>
      </c>
      <c r="E22" s="31" t="s">
        <v>978</v>
      </c>
      <c r="F22" s="31"/>
    </row>
    <row r="24" spans="1:7" ht="18" customHeight="1" x14ac:dyDescent="0.35">
      <c r="A24" s="29" t="s">
        <v>979</v>
      </c>
      <c r="B24" s="29"/>
      <c r="C24" s="29"/>
      <c r="D24" s="29"/>
      <c r="E24" s="29"/>
      <c r="F24" s="29"/>
    </row>
    <row r="25" spans="1:7" ht="25.5" customHeight="1" x14ac:dyDescent="0.35">
      <c r="A25" s="30" t="s">
        <v>980</v>
      </c>
      <c r="B25" s="30" t="s">
        <v>981</v>
      </c>
      <c r="C25" s="30" t="s">
        <v>982</v>
      </c>
      <c r="D25" s="30" t="s">
        <v>427</v>
      </c>
      <c r="E25" s="30" t="s">
        <v>624</v>
      </c>
      <c r="F25" s="30" t="s">
        <v>432</v>
      </c>
      <c r="G25" s="30" t="s">
        <v>433</v>
      </c>
    </row>
    <row r="26" spans="1:7" ht="15" customHeight="1" x14ac:dyDescent="0.35">
      <c r="A26" s="31" t="s">
        <v>983</v>
      </c>
      <c r="B26" s="31" t="s">
        <v>984</v>
      </c>
      <c r="C26" s="31" t="s">
        <v>985</v>
      </c>
      <c r="D26" s="31" t="s">
        <v>986</v>
      </c>
      <c r="E26" s="31" t="s">
        <v>987</v>
      </c>
      <c r="F26" s="32">
        <v>113737</v>
      </c>
      <c r="G26" s="32">
        <v>0</v>
      </c>
    </row>
    <row r="27" spans="1:7" ht="15" customHeight="1" x14ac:dyDescent="0.35">
      <c r="A27" s="31" t="s">
        <v>988</v>
      </c>
      <c r="B27" s="31" t="s">
        <v>984</v>
      </c>
      <c r="C27" s="31" t="s">
        <v>985</v>
      </c>
      <c r="D27" s="31" t="s">
        <v>989</v>
      </c>
      <c r="E27" s="31" t="s">
        <v>990</v>
      </c>
      <c r="F27" s="32">
        <v>136370</v>
      </c>
      <c r="G27" s="32">
        <v>0</v>
      </c>
    </row>
    <row r="28" spans="1:7" ht="15" customHeight="1" x14ac:dyDescent="0.35">
      <c r="A28" s="31" t="s">
        <v>991</v>
      </c>
      <c r="B28" s="31" t="s">
        <v>984</v>
      </c>
      <c r="C28" s="31" t="s">
        <v>985</v>
      </c>
      <c r="D28" s="31" t="s">
        <v>992</v>
      </c>
      <c r="E28" s="31" t="s">
        <v>993</v>
      </c>
      <c r="F28" s="32">
        <v>244841</v>
      </c>
      <c r="G28" s="32">
        <v>0</v>
      </c>
    </row>
    <row r="30" spans="1:7" ht="18" customHeight="1" x14ac:dyDescent="0.35">
      <c r="A30" s="29" t="s">
        <v>994</v>
      </c>
      <c r="B30" s="29"/>
      <c r="C30" s="29"/>
      <c r="D30" s="29"/>
      <c r="E30" s="29"/>
      <c r="F30" s="29"/>
    </row>
    <row r="31" spans="1:7" ht="25.5" customHeight="1" x14ac:dyDescent="0.35">
      <c r="A31" s="30" t="s">
        <v>995</v>
      </c>
      <c r="B31" s="30" t="s">
        <v>996</v>
      </c>
      <c r="C31" s="30" t="s">
        <v>997</v>
      </c>
      <c r="D31" s="30" t="s">
        <v>998</v>
      </c>
      <c r="E31" s="30"/>
      <c r="F31" s="30"/>
    </row>
    <row r="32" spans="1:7" ht="15" customHeight="1" x14ac:dyDescent="0.35">
      <c r="A32" s="31" t="s">
        <v>999</v>
      </c>
      <c r="B32" s="31" t="s">
        <v>1000</v>
      </c>
      <c r="C32" s="32">
        <v>318153</v>
      </c>
      <c r="D32" s="32">
        <v>265421</v>
      </c>
      <c r="E32" s="31"/>
      <c r="F32" s="31"/>
    </row>
    <row r="33" spans="1:6" ht="15" customHeight="1" x14ac:dyDescent="0.35">
      <c r="A33" s="31" t="s">
        <v>1001</v>
      </c>
      <c r="B33" s="31" t="s">
        <v>1002</v>
      </c>
      <c r="C33" s="32">
        <v>145000</v>
      </c>
      <c r="D33" s="32">
        <v>150000</v>
      </c>
      <c r="E33" s="31"/>
      <c r="F33" s="31"/>
    </row>
    <row r="34" spans="1:6" ht="15" customHeight="1" x14ac:dyDescent="0.35">
      <c r="A34" s="31" t="s">
        <v>1003</v>
      </c>
      <c r="B34" s="31" t="s">
        <v>1004</v>
      </c>
      <c r="C34" s="32">
        <v>55000</v>
      </c>
      <c r="D34" s="32">
        <v>50000</v>
      </c>
      <c r="E34" s="31"/>
      <c r="F34" s="31"/>
    </row>
    <row r="36" spans="1:6" ht="18" customHeight="1" x14ac:dyDescent="0.35">
      <c r="A36" s="29" t="s">
        <v>1005</v>
      </c>
      <c r="B36" s="29"/>
      <c r="C36" s="29"/>
      <c r="D36" s="29"/>
      <c r="E36" s="29"/>
      <c r="F36" s="29"/>
    </row>
    <row r="37" spans="1:6" ht="25.5" customHeight="1" x14ac:dyDescent="0.35">
      <c r="A37" s="30" t="s">
        <v>1006</v>
      </c>
      <c r="B37" s="30" t="s">
        <v>1007</v>
      </c>
      <c r="C37" s="30" t="s">
        <v>997</v>
      </c>
      <c r="D37" s="30" t="s">
        <v>998</v>
      </c>
      <c r="E37" s="30" t="s">
        <v>1008</v>
      </c>
      <c r="F37" s="30" t="s">
        <v>1009</v>
      </c>
    </row>
    <row r="38" spans="1:6" ht="15" customHeight="1" x14ac:dyDescent="0.35">
      <c r="A38" s="31" t="s">
        <v>1010</v>
      </c>
      <c r="B38" s="31" t="s">
        <v>1011</v>
      </c>
      <c r="C38" s="32">
        <v>3220476</v>
      </c>
      <c r="D38" s="32">
        <v>3181261</v>
      </c>
      <c r="E38" s="31" t="s">
        <v>1012</v>
      </c>
      <c r="F38" s="31" t="s">
        <v>1013</v>
      </c>
    </row>
    <row r="39" spans="1:6" ht="15" customHeight="1" x14ac:dyDescent="0.35">
      <c r="A39" s="31" t="s">
        <v>1014</v>
      </c>
      <c r="B39" s="31" t="s">
        <v>1015</v>
      </c>
      <c r="C39" s="32">
        <v>2284210</v>
      </c>
      <c r="D39" s="32">
        <v>2248194</v>
      </c>
      <c r="E39" s="31" t="s">
        <v>1016</v>
      </c>
      <c r="F39" s="31" t="s">
        <v>1013</v>
      </c>
    </row>
  </sheetData>
  <mergeCells count="4">
    <mergeCell ref="A3:F3"/>
    <mergeCell ref="A24:F24"/>
    <mergeCell ref="A30:F30"/>
    <mergeCell ref="A36:F3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C3F74-8CFC-4834-98A8-DDBF6F66E78C}">
  <dimension ref="A1:I37"/>
  <sheetViews>
    <sheetView workbookViewId="0">
      <selection activeCell="D71" sqref="D71"/>
    </sheetView>
  </sheetViews>
  <sheetFormatPr defaultColWidth="8.6328125" defaultRowHeight="14.5" x14ac:dyDescent="0.35"/>
  <cols>
    <col min="1" max="1" width="40" style="28" customWidth="1"/>
    <col min="2" max="2" width="12" style="28" customWidth="1"/>
    <col min="3" max="3" width="20" style="28" customWidth="1"/>
    <col min="4" max="4" width="10" style="28" customWidth="1"/>
    <col min="5" max="6" width="16" style="28" customWidth="1"/>
    <col min="7" max="7" width="12" style="28" customWidth="1"/>
    <col min="8" max="8" width="14" style="28" customWidth="1"/>
    <col min="9" max="9" width="12" style="28" customWidth="1"/>
    <col min="10" max="16384" width="8.6328125" style="28"/>
  </cols>
  <sheetData>
    <row r="1" spans="1:9" ht="17.25" customHeight="1" x14ac:dyDescent="0.4">
      <c r="A1" s="27" t="s">
        <v>1017</v>
      </c>
    </row>
    <row r="3" spans="1:9" ht="18" customHeight="1" x14ac:dyDescent="0.35">
      <c r="A3" s="29" t="s">
        <v>1018</v>
      </c>
      <c r="B3" s="29"/>
      <c r="C3" s="29"/>
      <c r="D3" s="29"/>
      <c r="E3" s="29"/>
      <c r="F3" s="29"/>
      <c r="G3" s="29"/>
      <c r="H3" s="29"/>
      <c r="I3" s="29"/>
    </row>
    <row r="4" spans="1:9" ht="25.5" customHeight="1" x14ac:dyDescent="0.35">
      <c r="A4" s="30" t="s">
        <v>1019</v>
      </c>
      <c r="B4" s="30" t="s">
        <v>1020</v>
      </c>
      <c r="C4" s="30" t="s">
        <v>1021</v>
      </c>
      <c r="D4" s="30" t="s">
        <v>425</v>
      </c>
      <c r="E4" s="30" t="s">
        <v>997</v>
      </c>
      <c r="F4" s="30" t="s">
        <v>998</v>
      </c>
      <c r="G4" s="30" t="s">
        <v>1022</v>
      </c>
      <c r="H4" s="30" t="s">
        <v>430</v>
      </c>
      <c r="I4" s="30" t="s">
        <v>940</v>
      </c>
    </row>
    <row r="5" spans="1:9" ht="15" customHeight="1" x14ac:dyDescent="0.35">
      <c r="A5" s="31" t="s">
        <v>1023</v>
      </c>
      <c r="B5" s="31" t="s">
        <v>1024</v>
      </c>
      <c r="C5" s="31" t="s">
        <v>1025</v>
      </c>
      <c r="D5" s="32" t="s">
        <v>439</v>
      </c>
      <c r="E5" s="32">
        <v>345210</v>
      </c>
      <c r="F5" s="32">
        <v>121430</v>
      </c>
      <c r="G5" s="33" t="s">
        <v>492</v>
      </c>
      <c r="H5" s="31" t="s">
        <v>493</v>
      </c>
      <c r="I5" s="31" t="s">
        <v>1026</v>
      </c>
    </row>
    <row r="6" spans="1:9" ht="15" customHeight="1" x14ac:dyDescent="0.35">
      <c r="A6" s="31" t="s">
        <v>1027</v>
      </c>
      <c r="B6" s="31" t="s">
        <v>1024</v>
      </c>
      <c r="C6" s="31" t="s">
        <v>1028</v>
      </c>
      <c r="D6" s="32" t="s">
        <v>439</v>
      </c>
      <c r="E6" s="32">
        <v>198450</v>
      </c>
      <c r="F6" s="32">
        <v>87210</v>
      </c>
      <c r="G6" s="33" t="s">
        <v>492</v>
      </c>
      <c r="H6" s="31" t="s">
        <v>493</v>
      </c>
      <c r="I6" s="31" t="s">
        <v>1026</v>
      </c>
    </row>
    <row r="7" spans="1:9" ht="15" customHeight="1" x14ac:dyDescent="0.35">
      <c r="A7" s="31" t="s">
        <v>1029</v>
      </c>
      <c r="B7" s="31" t="s">
        <v>1024</v>
      </c>
      <c r="C7" s="31" t="s">
        <v>1030</v>
      </c>
      <c r="D7" s="32" t="s">
        <v>439</v>
      </c>
      <c r="E7" s="32">
        <v>112340</v>
      </c>
      <c r="F7" s="32">
        <v>54890</v>
      </c>
      <c r="G7" s="33" t="s">
        <v>1031</v>
      </c>
      <c r="H7" s="31" t="s">
        <v>493</v>
      </c>
      <c r="I7" s="31" t="s">
        <v>1026</v>
      </c>
    </row>
    <row r="8" spans="1:9" ht="15" customHeight="1" x14ac:dyDescent="0.35">
      <c r="A8" s="31" t="s">
        <v>1032</v>
      </c>
      <c r="B8" s="31" t="s">
        <v>1033</v>
      </c>
      <c r="C8" s="31" t="s">
        <v>1034</v>
      </c>
      <c r="D8" s="32" t="s">
        <v>453</v>
      </c>
      <c r="E8" s="32">
        <v>89762</v>
      </c>
      <c r="F8" s="32">
        <v>47320</v>
      </c>
      <c r="G8" s="33" t="s">
        <v>1035</v>
      </c>
      <c r="H8" s="31" t="s">
        <v>493</v>
      </c>
      <c r="I8" s="31" t="s">
        <v>1026</v>
      </c>
    </row>
    <row r="9" spans="1:9" ht="15" customHeight="1" x14ac:dyDescent="0.35">
      <c r="A9" s="31" t="s">
        <v>1036</v>
      </c>
      <c r="B9" s="31" t="s">
        <v>1037</v>
      </c>
      <c r="C9" s="31" t="s">
        <v>1038</v>
      </c>
      <c r="D9" s="32" t="s">
        <v>453</v>
      </c>
      <c r="E9" s="32">
        <v>71890</v>
      </c>
      <c r="F9" s="32">
        <v>35640</v>
      </c>
      <c r="G9" s="33" t="s">
        <v>1039</v>
      </c>
      <c r="H9" s="31" t="s">
        <v>493</v>
      </c>
      <c r="I9" s="31" t="s">
        <v>1026</v>
      </c>
    </row>
    <row r="10" spans="1:9" ht="15" customHeight="1" x14ac:dyDescent="0.35">
      <c r="A10" s="31" t="s">
        <v>1040</v>
      </c>
      <c r="B10" s="31" t="s">
        <v>1041</v>
      </c>
      <c r="C10" s="31" t="s">
        <v>1042</v>
      </c>
      <c r="D10" s="32" t="s">
        <v>453</v>
      </c>
      <c r="E10" s="32">
        <v>65432</v>
      </c>
      <c r="F10" s="32">
        <v>21980</v>
      </c>
      <c r="G10" s="33" t="s">
        <v>492</v>
      </c>
      <c r="H10" s="31" t="s">
        <v>493</v>
      </c>
      <c r="I10" s="31" t="s">
        <v>1026</v>
      </c>
    </row>
    <row r="11" spans="1:9" ht="15" customHeight="1" x14ac:dyDescent="0.35">
      <c r="A11" s="31" t="s">
        <v>1043</v>
      </c>
      <c r="B11" s="31" t="s">
        <v>1044</v>
      </c>
      <c r="C11" s="31" t="s">
        <v>1045</v>
      </c>
      <c r="D11" s="32" t="s">
        <v>975</v>
      </c>
      <c r="E11" s="32">
        <v>38760</v>
      </c>
      <c r="F11" s="32">
        <v>14200</v>
      </c>
      <c r="G11" s="33" t="s">
        <v>499</v>
      </c>
      <c r="H11" s="31" t="s">
        <v>493</v>
      </c>
      <c r="I11" s="31" t="s">
        <v>1026</v>
      </c>
    </row>
    <row r="12" spans="1:9" ht="15" customHeight="1" x14ac:dyDescent="0.35">
      <c r="A12" s="31" t="s">
        <v>1046</v>
      </c>
      <c r="B12" s="31" t="s">
        <v>1033</v>
      </c>
      <c r="C12" s="31" t="s">
        <v>1047</v>
      </c>
      <c r="D12" s="32" t="s">
        <v>453</v>
      </c>
      <c r="E12" s="32">
        <v>28910</v>
      </c>
      <c r="F12" s="32">
        <v>12840</v>
      </c>
      <c r="G12" s="33" t="s">
        <v>1031</v>
      </c>
      <c r="H12" s="31" t="s">
        <v>493</v>
      </c>
      <c r="I12" s="31" t="s">
        <v>1026</v>
      </c>
    </row>
    <row r="13" spans="1:9" ht="15" customHeight="1" x14ac:dyDescent="0.35">
      <c r="A13" s="31" t="s">
        <v>1048</v>
      </c>
      <c r="B13" s="31" t="s">
        <v>1024</v>
      </c>
      <c r="C13" s="31" t="s">
        <v>1049</v>
      </c>
      <c r="D13" s="32" t="s">
        <v>439</v>
      </c>
      <c r="E13" s="32">
        <v>22650</v>
      </c>
      <c r="F13" s="32">
        <v>5480</v>
      </c>
      <c r="G13" s="33" t="s">
        <v>499</v>
      </c>
      <c r="H13" s="31" t="s">
        <v>493</v>
      </c>
      <c r="I13" s="31" t="s">
        <v>1026</v>
      </c>
    </row>
    <row r="14" spans="1:9" ht="15" customHeight="1" x14ac:dyDescent="0.35">
      <c r="A14" s="31" t="s">
        <v>1050</v>
      </c>
      <c r="B14" s="31" t="s">
        <v>1024</v>
      </c>
      <c r="C14" s="31" t="s">
        <v>1051</v>
      </c>
      <c r="D14" s="32" t="s">
        <v>439</v>
      </c>
      <c r="E14" s="32">
        <v>12732</v>
      </c>
      <c r="F14" s="32">
        <v>3804</v>
      </c>
      <c r="G14" s="33" t="s">
        <v>505</v>
      </c>
      <c r="H14" s="31" t="s">
        <v>493</v>
      </c>
      <c r="I14" s="31" t="s">
        <v>1026</v>
      </c>
    </row>
    <row r="16" spans="1:9" ht="18" customHeight="1" x14ac:dyDescent="0.35">
      <c r="A16" s="29" t="s">
        <v>1052</v>
      </c>
      <c r="B16" s="29"/>
      <c r="C16" s="29"/>
      <c r="D16" s="29"/>
      <c r="E16" s="29"/>
      <c r="F16" s="29"/>
      <c r="G16" s="29"/>
      <c r="H16" s="29"/>
      <c r="I16" s="29"/>
    </row>
    <row r="17" spans="1:9" ht="25.5" customHeight="1" x14ac:dyDescent="0.35">
      <c r="A17" s="30" t="s">
        <v>1019</v>
      </c>
      <c r="B17" s="30" t="s">
        <v>1020</v>
      </c>
      <c r="C17" s="30" t="s">
        <v>1009</v>
      </c>
      <c r="D17" s="30" t="s">
        <v>425</v>
      </c>
      <c r="E17" s="30" t="s">
        <v>997</v>
      </c>
      <c r="F17" s="30" t="s">
        <v>998</v>
      </c>
      <c r="G17" s="30" t="s">
        <v>624</v>
      </c>
      <c r="H17" s="30" t="s">
        <v>427</v>
      </c>
      <c r="I17" s="30" t="s">
        <v>430</v>
      </c>
    </row>
    <row r="18" spans="1:9" ht="15" customHeight="1" x14ac:dyDescent="0.35">
      <c r="A18" s="31" t="s">
        <v>1023</v>
      </c>
      <c r="B18" s="31" t="s">
        <v>1024</v>
      </c>
      <c r="C18" s="31" t="s">
        <v>1053</v>
      </c>
      <c r="D18" s="31" t="s">
        <v>439</v>
      </c>
      <c r="E18" s="32">
        <v>850000</v>
      </c>
      <c r="F18" s="32">
        <v>750000</v>
      </c>
      <c r="G18" s="31" t="s">
        <v>993</v>
      </c>
      <c r="H18" s="31" t="s">
        <v>1054</v>
      </c>
      <c r="I18" s="31" t="s">
        <v>493</v>
      </c>
    </row>
    <row r="19" spans="1:9" ht="15" customHeight="1" x14ac:dyDescent="0.35">
      <c r="A19" s="31" t="s">
        <v>1027</v>
      </c>
      <c r="B19" s="31" t="s">
        <v>1024</v>
      </c>
      <c r="C19" s="31" t="s">
        <v>1055</v>
      </c>
      <c r="D19" s="31" t="s">
        <v>439</v>
      </c>
      <c r="E19" s="32">
        <v>700000</v>
      </c>
      <c r="F19" s="32">
        <v>650000</v>
      </c>
      <c r="G19" s="31" t="s">
        <v>990</v>
      </c>
      <c r="H19" s="31" t="s">
        <v>1056</v>
      </c>
      <c r="I19" s="31" t="s">
        <v>493</v>
      </c>
    </row>
    <row r="20" spans="1:9" ht="15" customHeight="1" x14ac:dyDescent="0.35">
      <c r="A20" s="31" t="s">
        <v>1029</v>
      </c>
      <c r="B20" s="31" t="s">
        <v>1024</v>
      </c>
      <c r="C20" s="31" t="s">
        <v>1057</v>
      </c>
      <c r="D20" s="31" t="s">
        <v>439</v>
      </c>
      <c r="E20" s="32">
        <v>620000</v>
      </c>
      <c r="F20" s="32">
        <v>520000</v>
      </c>
      <c r="G20" s="31" t="s">
        <v>1058</v>
      </c>
      <c r="H20" s="31" t="s">
        <v>1059</v>
      </c>
      <c r="I20" s="31" t="s">
        <v>493</v>
      </c>
    </row>
    <row r="21" spans="1:9" ht="15" customHeight="1" x14ac:dyDescent="0.35">
      <c r="A21" s="31" t="s">
        <v>1060</v>
      </c>
      <c r="B21" s="31" t="s">
        <v>1061</v>
      </c>
      <c r="C21" s="31" t="s">
        <v>1062</v>
      </c>
      <c r="D21" s="31" t="s">
        <v>453</v>
      </c>
      <c r="E21" s="32">
        <v>450000</v>
      </c>
      <c r="F21" s="32">
        <v>380000</v>
      </c>
      <c r="G21" s="31" t="s">
        <v>1063</v>
      </c>
      <c r="H21" s="31" t="s">
        <v>989</v>
      </c>
      <c r="I21" s="31" t="s">
        <v>493</v>
      </c>
    </row>
    <row r="22" spans="1:9" ht="15" customHeight="1" x14ac:dyDescent="0.35">
      <c r="A22" s="31" t="s">
        <v>1036</v>
      </c>
      <c r="B22" s="31" t="s">
        <v>1037</v>
      </c>
      <c r="C22" s="31" t="s">
        <v>1064</v>
      </c>
      <c r="D22" s="31" t="s">
        <v>453</v>
      </c>
      <c r="E22" s="32">
        <v>380000</v>
      </c>
      <c r="F22" s="32">
        <v>340000</v>
      </c>
      <c r="G22" s="31" t="s">
        <v>1065</v>
      </c>
      <c r="H22" s="31" t="s">
        <v>1066</v>
      </c>
      <c r="I22" s="31" t="s">
        <v>493</v>
      </c>
    </row>
    <row r="23" spans="1:9" ht="15" customHeight="1" x14ac:dyDescent="0.35">
      <c r="A23" s="31" t="s">
        <v>1067</v>
      </c>
      <c r="B23" s="31" t="s">
        <v>1068</v>
      </c>
      <c r="C23" s="31" t="s">
        <v>1069</v>
      </c>
      <c r="D23" s="31" t="s">
        <v>1070</v>
      </c>
      <c r="E23" s="32">
        <v>310000</v>
      </c>
      <c r="F23" s="32">
        <v>280000</v>
      </c>
      <c r="G23" s="31" t="s">
        <v>1071</v>
      </c>
      <c r="H23" s="31" t="s">
        <v>1072</v>
      </c>
      <c r="I23" s="31" t="s">
        <v>493</v>
      </c>
    </row>
    <row r="24" spans="1:9" ht="15" customHeight="1" x14ac:dyDescent="0.35">
      <c r="A24" s="31" t="s">
        <v>1073</v>
      </c>
      <c r="B24" s="31" t="s">
        <v>1037</v>
      </c>
      <c r="C24" s="31" t="s">
        <v>1074</v>
      </c>
      <c r="D24" s="31" t="s">
        <v>1075</v>
      </c>
      <c r="E24" s="32">
        <v>276851</v>
      </c>
      <c r="F24" s="32">
        <v>254191</v>
      </c>
      <c r="G24" s="31" t="s">
        <v>1076</v>
      </c>
      <c r="H24" s="31" t="s">
        <v>1077</v>
      </c>
      <c r="I24" s="31" t="s">
        <v>493</v>
      </c>
    </row>
    <row r="25" spans="1:9" ht="15" customHeight="1" x14ac:dyDescent="0.35">
      <c r="A25" s="31" t="s">
        <v>1078</v>
      </c>
      <c r="B25" s="31" t="s">
        <v>1041</v>
      </c>
      <c r="C25" s="31" t="s">
        <v>1079</v>
      </c>
      <c r="D25" s="31" t="s">
        <v>453</v>
      </c>
      <c r="E25" s="32">
        <v>240000</v>
      </c>
      <c r="F25" s="32">
        <v>210000</v>
      </c>
      <c r="G25" s="31" t="s">
        <v>1080</v>
      </c>
      <c r="H25" s="31" t="s">
        <v>992</v>
      </c>
      <c r="I25" s="31" t="s">
        <v>493</v>
      </c>
    </row>
    <row r="26" spans="1:9" ht="15" customHeight="1" x14ac:dyDescent="0.35">
      <c r="A26" s="31" t="s">
        <v>1081</v>
      </c>
      <c r="B26" s="31" t="s">
        <v>1041</v>
      </c>
      <c r="C26" s="31" t="s">
        <v>1082</v>
      </c>
      <c r="D26" s="31" t="s">
        <v>453</v>
      </c>
      <c r="E26" s="32">
        <v>200000</v>
      </c>
      <c r="F26" s="32">
        <v>150000</v>
      </c>
      <c r="G26" s="31" t="s">
        <v>1083</v>
      </c>
      <c r="H26" s="31" t="s">
        <v>1084</v>
      </c>
      <c r="I26" s="31" t="s">
        <v>493</v>
      </c>
    </row>
    <row r="28" spans="1:9" ht="18" customHeight="1" x14ac:dyDescent="0.35">
      <c r="A28" s="29" t="s">
        <v>1085</v>
      </c>
      <c r="B28" s="29"/>
      <c r="C28" s="29"/>
      <c r="D28" s="29"/>
      <c r="E28" s="29"/>
      <c r="F28" s="29"/>
      <c r="G28" s="29"/>
      <c r="H28" s="29"/>
      <c r="I28" s="29"/>
    </row>
    <row r="29" spans="1:9" ht="25.5" customHeight="1" x14ac:dyDescent="0.35">
      <c r="A29" s="30" t="s">
        <v>1019</v>
      </c>
      <c r="B29" s="30" t="s">
        <v>1020</v>
      </c>
      <c r="C29" s="30" t="s">
        <v>1009</v>
      </c>
      <c r="D29" s="30" t="s">
        <v>425</v>
      </c>
      <c r="E29" s="30" t="s">
        <v>997</v>
      </c>
      <c r="F29" s="30" t="s">
        <v>998</v>
      </c>
      <c r="G29" s="30" t="s">
        <v>624</v>
      </c>
      <c r="H29" s="30" t="s">
        <v>427</v>
      </c>
      <c r="I29" s="30" t="s">
        <v>430</v>
      </c>
    </row>
    <row r="30" spans="1:9" ht="15" customHeight="1" x14ac:dyDescent="0.35">
      <c r="A30" s="31" t="s">
        <v>1086</v>
      </c>
      <c r="B30" s="31" t="s">
        <v>1024</v>
      </c>
      <c r="C30" s="31" t="s">
        <v>1087</v>
      </c>
      <c r="D30" s="31" t="s">
        <v>439</v>
      </c>
      <c r="E30" s="32">
        <v>350000</v>
      </c>
      <c r="F30" s="32">
        <v>800000</v>
      </c>
      <c r="G30" s="31" t="s">
        <v>987</v>
      </c>
      <c r="H30" s="31" t="s">
        <v>1088</v>
      </c>
      <c r="I30" s="31" t="s">
        <v>493</v>
      </c>
    </row>
    <row r="31" spans="1:9" ht="15" customHeight="1" x14ac:dyDescent="0.35">
      <c r="A31" s="31" t="s">
        <v>1050</v>
      </c>
      <c r="B31" s="31" t="s">
        <v>1024</v>
      </c>
      <c r="C31" s="31" t="s">
        <v>1089</v>
      </c>
      <c r="D31" s="31" t="s">
        <v>439</v>
      </c>
      <c r="E31" s="32">
        <v>300000</v>
      </c>
      <c r="F31" s="32">
        <v>700000</v>
      </c>
      <c r="G31" s="31" t="s">
        <v>1090</v>
      </c>
      <c r="H31" s="31" t="s">
        <v>989</v>
      </c>
      <c r="I31" s="31" t="s">
        <v>493</v>
      </c>
    </row>
    <row r="32" spans="1:9" ht="15" customHeight="1" x14ac:dyDescent="0.35">
      <c r="A32" s="31" t="s">
        <v>1091</v>
      </c>
      <c r="B32" s="31" t="s">
        <v>1024</v>
      </c>
      <c r="C32" s="31" t="s">
        <v>1092</v>
      </c>
      <c r="D32" s="31" t="s">
        <v>439</v>
      </c>
      <c r="E32" s="32">
        <v>250000</v>
      </c>
      <c r="F32" s="32">
        <v>650000</v>
      </c>
      <c r="G32" s="31" t="s">
        <v>1093</v>
      </c>
      <c r="H32" s="31" t="s">
        <v>992</v>
      </c>
      <c r="I32" s="31" t="s">
        <v>493</v>
      </c>
    </row>
    <row r="33" spans="1:9" ht="15" customHeight="1" x14ac:dyDescent="0.35">
      <c r="A33" s="31" t="s">
        <v>1048</v>
      </c>
      <c r="B33" s="31" t="s">
        <v>1024</v>
      </c>
      <c r="C33" s="31" t="s">
        <v>1094</v>
      </c>
      <c r="D33" s="31" t="s">
        <v>439</v>
      </c>
      <c r="E33" s="32">
        <v>121938</v>
      </c>
      <c r="F33" s="32">
        <v>616369</v>
      </c>
      <c r="G33" s="31" t="s">
        <v>1058</v>
      </c>
      <c r="H33" s="31" t="s">
        <v>1054</v>
      </c>
      <c r="I33" s="31" t="s">
        <v>493</v>
      </c>
    </row>
    <row r="35" spans="1:9" ht="18" customHeight="1" x14ac:dyDescent="0.35">
      <c r="A35" s="29" t="s">
        <v>1095</v>
      </c>
      <c r="B35" s="29"/>
      <c r="C35" s="29"/>
      <c r="D35" s="29"/>
      <c r="E35" s="29"/>
      <c r="F35" s="29"/>
      <c r="G35" s="29"/>
      <c r="H35" s="29"/>
      <c r="I35" s="29"/>
    </row>
    <row r="36" spans="1:9" ht="25.5" customHeight="1" x14ac:dyDescent="0.35">
      <c r="A36" s="30" t="s">
        <v>1096</v>
      </c>
      <c r="B36" s="30"/>
      <c r="C36" s="30"/>
      <c r="D36" s="30"/>
      <c r="E36" s="30" t="s">
        <v>1097</v>
      </c>
      <c r="F36" s="30" t="s">
        <v>1098</v>
      </c>
      <c r="G36" s="30"/>
      <c r="H36" s="30"/>
      <c r="I36" s="30"/>
    </row>
    <row r="37" spans="1:9" ht="15" customHeight="1" x14ac:dyDescent="0.35">
      <c r="A37" s="31" t="s">
        <v>1099</v>
      </c>
      <c r="B37" s="31"/>
      <c r="C37" s="31"/>
      <c r="D37" s="31"/>
      <c r="E37" s="32">
        <v>-9154</v>
      </c>
      <c r="F37" s="32">
        <v>-8237</v>
      </c>
      <c r="G37" s="31"/>
      <c r="H37" s="31"/>
      <c r="I37" s="31"/>
    </row>
  </sheetData>
  <mergeCells count="4">
    <mergeCell ref="A3:I3"/>
    <mergeCell ref="A16:I16"/>
    <mergeCell ref="A28:I28"/>
    <mergeCell ref="A35:I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11BEC-1D93-40B8-B1D3-78BFED114C7B}">
  <dimension ref="A1:E32"/>
  <sheetViews>
    <sheetView workbookViewId="0">
      <selection activeCell="D71" sqref="D71"/>
    </sheetView>
  </sheetViews>
  <sheetFormatPr defaultColWidth="8.6328125" defaultRowHeight="14.5" x14ac:dyDescent="0.35"/>
  <cols>
    <col min="1" max="1" width="48" style="35" customWidth="1"/>
    <col min="2" max="2" width="15" style="35" customWidth="1"/>
    <col min="3" max="4" width="16" style="35" customWidth="1"/>
    <col min="5" max="5" width="38" style="35" customWidth="1"/>
    <col min="6" max="16384" width="8.6328125" style="35"/>
  </cols>
  <sheetData>
    <row r="1" spans="1:5" ht="17.25" customHeight="1" x14ac:dyDescent="0.4">
      <c r="A1" s="34" t="s">
        <v>1100</v>
      </c>
    </row>
    <row r="3" spans="1:5" ht="18" customHeight="1" x14ac:dyDescent="0.35">
      <c r="A3" s="36" t="s">
        <v>1101</v>
      </c>
      <c r="B3" s="36"/>
      <c r="C3" s="36"/>
      <c r="D3" s="36"/>
      <c r="E3" s="36"/>
    </row>
    <row r="4" spans="1:5" ht="25.5" customHeight="1" x14ac:dyDescent="0.35">
      <c r="A4" s="37" t="s">
        <v>1102</v>
      </c>
      <c r="B4" s="37" t="s">
        <v>1103</v>
      </c>
      <c r="C4" s="37" t="s">
        <v>997</v>
      </c>
      <c r="D4" s="37" t="s">
        <v>998</v>
      </c>
      <c r="E4" s="37" t="s">
        <v>940</v>
      </c>
    </row>
    <row r="5" spans="1:5" ht="15" customHeight="1" x14ac:dyDescent="0.35">
      <c r="A5" s="31" t="s">
        <v>1104</v>
      </c>
      <c r="B5" s="31" t="s">
        <v>1105</v>
      </c>
      <c r="C5" s="32">
        <v>198450</v>
      </c>
      <c r="D5" s="32">
        <v>108230</v>
      </c>
      <c r="E5" s="31" t="s">
        <v>1106</v>
      </c>
    </row>
    <row r="6" spans="1:5" ht="15" customHeight="1" x14ac:dyDescent="0.35">
      <c r="A6" s="31" t="s">
        <v>1107</v>
      </c>
      <c r="B6" s="31" t="s">
        <v>1108</v>
      </c>
      <c r="C6" s="32">
        <v>87650</v>
      </c>
      <c r="D6" s="32">
        <v>62180</v>
      </c>
      <c r="E6" s="31" t="s">
        <v>1109</v>
      </c>
    </row>
    <row r="7" spans="1:5" ht="15" customHeight="1" x14ac:dyDescent="0.35">
      <c r="A7" s="31" t="s">
        <v>1110</v>
      </c>
      <c r="B7" s="31" t="s">
        <v>1111</v>
      </c>
      <c r="C7" s="32">
        <v>24820</v>
      </c>
      <c r="D7" s="32">
        <v>18340</v>
      </c>
      <c r="E7" s="31" t="s">
        <v>1112</v>
      </c>
    </row>
    <row r="8" spans="1:5" ht="15" customHeight="1" x14ac:dyDescent="0.35">
      <c r="A8" s="31" t="s">
        <v>1113</v>
      </c>
      <c r="B8" s="31" t="s">
        <v>1114</v>
      </c>
      <c r="C8" s="32">
        <v>31240</v>
      </c>
      <c r="D8" s="32">
        <v>14210</v>
      </c>
      <c r="E8" s="31" t="s">
        <v>1115</v>
      </c>
    </row>
    <row r="9" spans="1:5" ht="15" customHeight="1" x14ac:dyDescent="0.35">
      <c r="A9" s="31" t="s">
        <v>1116</v>
      </c>
      <c r="B9" s="31" t="s">
        <v>1117</v>
      </c>
      <c r="C9" s="32">
        <v>18750</v>
      </c>
      <c r="D9" s="32">
        <v>7650</v>
      </c>
      <c r="E9" s="31" t="s">
        <v>1118</v>
      </c>
    </row>
    <row r="10" spans="1:5" ht="15" customHeight="1" x14ac:dyDescent="0.35">
      <c r="A10" s="31" t="s">
        <v>1119</v>
      </c>
      <c r="B10" s="31" t="s">
        <v>1120</v>
      </c>
      <c r="C10" s="32">
        <v>12380</v>
      </c>
      <c r="D10" s="32">
        <v>8420</v>
      </c>
      <c r="E10" s="31" t="s">
        <v>1121</v>
      </c>
    </row>
    <row r="11" spans="1:5" ht="15" customHeight="1" x14ac:dyDescent="0.35">
      <c r="A11" s="31" t="s">
        <v>1122</v>
      </c>
      <c r="B11" s="31" t="s">
        <v>1123</v>
      </c>
      <c r="C11" s="32">
        <v>34590</v>
      </c>
      <c r="D11" s="32">
        <v>5565</v>
      </c>
      <c r="E11" s="31" t="s">
        <v>1124</v>
      </c>
    </row>
    <row r="12" spans="1:5" ht="15" customHeight="1" x14ac:dyDescent="0.35">
      <c r="A12" s="31" t="s">
        <v>1125</v>
      </c>
      <c r="B12" s="31" t="s">
        <v>1126</v>
      </c>
      <c r="C12" s="32">
        <v>22682</v>
      </c>
      <c r="D12" s="32">
        <v>0</v>
      </c>
      <c r="E12" s="31" t="s">
        <v>1127</v>
      </c>
    </row>
    <row r="14" spans="1:5" ht="18" customHeight="1" x14ac:dyDescent="0.35">
      <c r="A14" s="36" t="s">
        <v>1128</v>
      </c>
      <c r="B14" s="36"/>
      <c r="C14" s="36"/>
      <c r="D14" s="36"/>
      <c r="E14" s="36"/>
    </row>
    <row r="15" spans="1:5" ht="25.5" customHeight="1" x14ac:dyDescent="0.35">
      <c r="A15" s="37" t="s">
        <v>423</v>
      </c>
      <c r="B15" s="37" t="s">
        <v>981</v>
      </c>
      <c r="C15" s="37" t="s">
        <v>997</v>
      </c>
      <c r="D15" s="37" t="s">
        <v>998</v>
      </c>
      <c r="E15" s="37" t="s">
        <v>940</v>
      </c>
    </row>
    <row r="16" spans="1:5" ht="15" customHeight="1" x14ac:dyDescent="0.35">
      <c r="A16" s="31" t="s">
        <v>1129</v>
      </c>
      <c r="B16" s="31" t="s">
        <v>1130</v>
      </c>
      <c r="C16" s="32">
        <v>38920</v>
      </c>
      <c r="D16" s="32">
        <v>2028</v>
      </c>
      <c r="E16" s="31" t="s">
        <v>1131</v>
      </c>
    </row>
    <row r="17" spans="1:5" ht="15" customHeight="1" x14ac:dyDescent="0.35">
      <c r="A17" s="31" t="s">
        <v>1132</v>
      </c>
      <c r="B17" s="31" t="s">
        <v>1029</v>
      </c>
      <c r="C17" s="32">
        <v>21840</v>
      </c>
      <c r="D17" s="32">
        <v>0</v>
      </c>
      <c r="E17" s="31" t="s">
        <v>1133</v>
      </c>
    </row>
    <row r="18" spans="1:5" ht="15" customHeight="1" x14ac:dyDescent="0.35">
      <c r="A18" s="31" t="s">
        <v>1134</v>
      </c>
      <c r="B18" s="31" t="s">
        <v>1027</v>
      </c>
      <c r="C18" s="32">
        <v>15000</v>
      </c>
      <c r="D18" s="32">
        <v>0</v>
      </c>
      <c r="E18" s="31" t="s">
        <v>1135</v>
      </c>
    </row>
    <row r="20" spans="1:5" ht="18" customHeight="1" x14ac:dyDescent="0.35">
      <c r="A20" s="36" t="s">
        <v>1136</v>
      </c>
      <c r="B20" s="36"/>
      <c r="C20" s="36"/>
      <c r="D20" s="36"/>
      <c r="E20" s="36"/>
    </row>
    <row r="21" spans="1:5" ht="25.5" customHeight="1" x14ac:dyDescent="0.35">
      <c r="A21" s="37" t="s">
        <v>1102</v>
      </c>
      <c r="B21" s="37" t="s">
        <v>1103</v>
      </c>
      <c r="C21" s="37" t="s">
        <v>997</v>
      </c>
      <c r="D21" s="37" t="s">
        <v>998</v>
      </c>
      <c r="E21" s="37" t="s">
        <v>940</v>
      </c>
    </row>
    <row r="22" spans="1:5" ht="15" customHeight="1" x14ac:dyDescent="0.35">
      <c r="A22" s="31" t="s">
        <v>1137</v>
      </c>
      <c r="B22" s="31" t="s">
        <v>1138</v>
      </c>
      <c r="C22" s="32">
        <v>28450</v>
      </c>
      <c r="D22" s="32">
        <v>52340</v>
      </c>
      <c r="E22" s="31" t="s">
        <v>1139</v>
      </c>
    </row>
    <row r="23" spans="1:5" ht="15" customHeight="1" x14ac:dyDescent="0.35">
      <c r="A23" s="31" t="s">
        <v>1140</v>
      </c>
      <c r="B23" s="31" t="s">
        <v>1141</v>
      </c>
      <c r="C23" s="32">
        <v>14395</v>
      </c>
      <c r="D23" s="32">
        <v>21859</v>
      </c>
      <c r="E23" s="31" t="s">
        <v>1142</v>
      </c>
    </row>
    <row r="24" spans="1:5" ht="15" customHeight="1" x14ac:dyDescent="0.35">
      <c r="A24" s="31" t="s">
        <v>1143</v>
      </c>
      <c r="B24" s="31" t="s">
        <v>1144</v>
      </c>
      <c r="C24" s="32">
        <v>3000</v>
      </c>
      <c r="D24" s="32">
        <v>3000</v>
      </c>
      <c r="E24" s="31" t="s">
        <v>1145</v>
      </c>
    </row>
    <row r="26" spans="1:5" ht="18" customHeight="1" x14ac:dyDescent="0.35">
      <c r="A26" s="36" t="s">
        <v>1146</v>
      </c>
      <c r="B26" s="36"/>
      <c r="C26" s="36"/>
      <c r="D26" s="36"/>
      <c r="E26" s="36"/>
    </row>
    <row r="27" spans="1:5" ht="25.5" customHeight="1" x14ac:dyDescent="0.35">
      <c r="A27" s="37" t="s">
        <v>1102</v>
      </c>
      <c r="B27" s="37" t="s">
        <v>1103</v>
      </c>
      <c r="C27" s="37" t="s">
        <v>997</v>
      </c>
      <c r="D27" s="37" t="s">
        <v>998</v>
      </c>
      <c r="E27" s="37" t="s">
        <v>940</v>
      </c>
    </row>
    <row r="28" spans="1:5" ht="15" customHeight="1" x14ac:dyDescent="0.35">
      <c r="A28" s="31" t="s">
        <v>1147</v>
      </c>
      <c r="B28" s="31" t="s">
        <v>1148</v>
      </c>
      <c r="C28" s="32">
        <v>145230</v>
      </c>
      <c r="D28" s="32">
        <v>132540</v>
      </c>
      <c r="E28" s="31" t="s">
        <v>1149</v>
      </c>
    </row>
    <row r="29" spans="1:5" ht="15" customHeight="1" x14ac:dyDescent="0.35">
      <c r="A29" s="31" t="s">
        <v>1150</v>
      </c>
      <c r="B29" s="31" t="s">
        <v>1151</v>
      </c>
      <c r="C29" s="32">
        <v>98450</v>
      </c>
      <c r="D29" s="32">
        <v>87650</v>
      </c>
      <c r="E29" s="31" t="s">
        <v>1152</v>
      </c>
    </row>
    <row r="30" spans="1:5" ht="15" customHeight="1" x14ac:dyDescent="0.35">
      <c r="A30" s="31" t="s">
        <v>1153</v>
      </c>
      <c r="B30" s="31" t="s">
        <v>1154</v>
      </c>
      <c r="C30" s="32">
        <v>67890</v>
      </c>
      <c r="D30" s="32">
        <v>62340</v>
      </c>
      <c r="E30" s="31" t="s">
        <v>1155</v>
      </c>
    </row>
    <row r="31" spans="1:5" ht="15" customHeight="1" x14ac:dyDescent="0.35">
      <c r="A31" s="31" t="s">
        <v>1156</v>
      </c>
      <c r="B31" s="31" t="s">
        <v>1157</v>
      </c>
      <c r="C31" s="32">
        <v>34218</v>
      </c>
      <c r="D31" s="32">
        <v>38210</v>
      </c>
      <c r="E31" s="31" t="s">
        <v>1158</v>
      </c>
    </row>
    <row r="32" spans="1:5" ht="15" customHeight="1" x14ac:dyDescent="0.35">
      <c r="A32" s="31" t="s">
        <v>1159</v>
      </c>
      <c r="B32" s="31" t="s">
        <v>1160</v>
      </c>
      <c r="C32" s="32">
        <v>29069</v>
      </c>
      <c r="D32" s="32">
        <v>21134</v>
      </c>
      <c r="E32" s="31" t="s">
        <v>1161</v>
      </c>
    </row>
  </sheetData>
  <mergeCells count="4">
    <mergeCell ref="A3:E3"/>
    <mergeCell ref="A14:E14"/>
    <mergeCell ref="A20:E20"/>
    <mergeCell ref="A26:E2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8FDE6-52CD-42F8-B500-E8A4137CE3AC}">
  <dimension ref="A1:E38"/>
  <sheetViews>
    <sheetView workbookViewId="0">
      <selection activeCell="D71" sqref="D71"/>
    </sheetView>
  </sheetViews>
  <sheetFormatPr defaultColWidth="8.6328125" defaultRowHeight="14.5" x14ac:dyDescent="0.35"/>
  <cols>
    <col min="1" max="1" width="45" style="28" customWidth="1"/>
    <col min="2" max="2" width="10" style="28" customWidth="1"/>
    <col min="3" max="4" width="18" style="35" customWidth="1"/>
    <col min="5" max="5" width="38" style="28" customWidth="1"/>
    <col min="6" max="16384" width="8.6328125" style="28"/>
  </cols>
  <sheetData>
    <row r="1" spans="1:5" ht="17.25" customHeight="1" x14ac:dyDescent="0.4">
      <c r="A1" s="34" t="s">
        <v>1162</v>
      </c>
      <c r="B1" s="35"/>
      <c r="E1" s="35"/>
    </row>
    <row r="2" spans="1:5" ht="15" customHeight="1" x14ac:dyDescent="0.35">
      <c r="A2" s="38"/>
      <c r="B2" s="35"/>
      <c r="E2" s="35"/>
    </row>
    <row r="3" spans="1:5" x14ac:dyDescent="0.35">
      <c r="A3" s="35"/>
      <c r="B3" s="35"/>
      <c r="E3" s="35"/>
    </row>
    <row r="4" spans="1:5" ht="18" customHeight="1" x14ac:dyDescent="0.35">
      <c r="A4" s="36" t="s">
        <v>1163</v>
      </c>
      <c r="B4" s="36"/>
      <c r="C4" s="36"/>
      <c r="D4" s="36"/>
      <c r="E4" s="36"/>
    </row>
    <row r="5" spans="1:5" ht="25.5" customHeight="1" x14ac:dyDescent="0.35">
      <c r="A5" s="37" t="s">
        <v>1164</v>
      </c>
      <c r="B5" s="37" t="s">
        <v>1165</v>
      </c>
      <c r="C5" s="37"/>
      <c r="D5" s="37"/>
      <c r="E5" s="37"/>
    </row>
    <row r="6" spans="1:5" ht="15" customHeight="1" x14ac:dyDescent="0.35">
      <c r="A6" s="39" t="s">
        <v>1166</v>
      </c>
      <c r="B6" s="40" t="s">
        <v>1167</v>
      </c>
      <c r="C6" s="40"/>
      <c r="D6" s="40"/>
      <c r="E6" s="40"/>
    </row>
    <row r="7" spans="1:5" ht="15" customHeight="1" x14ac:dyDescent="0.35">
      <c r="A7" s="39" t="s">
        <v>1168</v>
      </c>
      <c r="B7" s="40" t="s">
        <v>1169</v>
      </c>
      <c r="C7" s="40"/>
      <c r="D7" s="40"/>
      <c r="E7" s="40"/>
    </row>
    <row r="8" spans="1:5" ht="15" customHeight="1" x14ac:dyDescent="0.35">
      <c r="A8" s="39" t="s">
        <v>1170</v>
      </c>
      <c r="B8" s="40" t="s">
        <v>1171</v>
      </c>
      <c r="C8" s="40"/>
      <c r="D8" s="40"/>
      <c r="E8" s="40"/>
    </row>
    <row r="9" spans="1:5" ht="15" customHeight="1" x14ac:dyDescent="0.35">
      <c r="A9" s="39" t="s">
        <v>1172</v>
      </c>
      <c r="B9" s="40" t="s">
        <v>1173</v>
      </c>
      <c r="C9" s="40"/>
      <c r="D9" s="40"/>
      <c r="E9" s="40"/>
    </row>
    <row r="10" spans="1:5" ht="15" customHeight="1" x14ac:dyDescent="0.35">
      <c r="A10" s="39" t="s">
        <v>1174</v>
      </c>
      <c r="B10" s="40" t="s">
        <v>1175</v>
      </c>
      <c r="C10" s="40"/>
      <c r="D10" s="40"/>
      <c r="E10" s="40"/>
    </row>
    <row r="11" spans="1:5" ht="15" customHeight="1" x14ac:dyDescent="0.35">
      <c r="A11" s="39" t="s">
        <v>1176</v>
      </c>
      <c r="B11" s="40" t="s">
        <v>1177</v>
      </c>
      <c r="C11" s="40"/>
      <c r="D11" s="40"/>
      <c r="E11" s="40"/>
    </row>
    <row r="12" spans="1:5" ht="15" customHeight="1" x14ac:dyDescent="0.35">
      <c r="A12" s="39" t="s">
        <v>1178</v>
      </c>
      <c r="B12" s="40" t="s">
        <v>1179</v>
      </c>
      <c r="C12" s="40"/>
      <c r="D12" s="40"/>
      <c r="E12" s="40"/>
    </row>
    <row r="13" spans="1:5" ht="15" customHeight="1" x14ac:dyDescent="0.35">
      <c r="A13" s="39" t="s">
        <v>1180</v>
      </c>
      <c r="B13" s="40" t="s">
        <v>1181</v>
      </c>
      <c r="C13" s="40"/>
      <c r="D13" s="40"/>
      <c r="E13" s="40"/>
    </row>
    <row r="14" spans="1:5" ht="15" customHeight="1" x14ac:dyDescent="0.35">
      <c r="A14" s="39" t="s">
        <v>1182</v>
      </c>
      <c r="B14" s="40" t="s">
        <v>1183</v>
      </c>
      <c r="C14" s="40"/>
      <c r="D14" s="40"/>
      <c r="E14" s="40"/>
    </row>
    <row r="15" spans="1:5" ht="15" customHeight="1" x14ac:dyDescent="0.35">
      <c r="A15" s="39" t="s">
        <v>1184</v>
      </c>
      <c r="B15" s="40" t="s">
        <v>1185</v>
      </c>
      <c r="C15" s="40"/>
      <c r="D15" s="40"/>
      <c r="E15" s="40"/>
    </row>
    <row r="16" spans="1:5" ht="15" customHeight="1" x14ac:dyDescent="0.35">
      <c r="A16" s="39" t="s">
        <v>1186</v>
      </c>
      <c r="B16" s="40" t="s">
        <v>1187</v>
      </c>
      <c r="C16" s="40"/>
      <c r="D16" s="40"/>
      <c r="E16" s="40"/>
    </row>
    <row r="18" spans="1:5" ht="18" customHeight="1" x14ac:dyDescent="0.35">
      <c r="A18" s="29" t="s">
        <v>1188</v>
      </c>
      <c r="B18" s="29"/>
      <c r="C18" s="29"/>
      <c r="D18" s="29"/>
      <c r="E18" s="29"/>
    </row>
    <row r="19" spans="1:5" ht="25.5" customHeight="1" x14ac:dyDescent="0.35">
      <c r="A19" s="30" t="s">
        <v>1189</v>
      </c>
      <c r="B19" s="30"/>
      <c r="C19" s="37" t="s">
        <v>390</v>
      </c>
      <c r="D19" s="37" t="s">
        <v>381</v>
      </c>
      <c r="E19" s="30"/>
    </row>
    <row r="20" spans="1:5" ht="15" customHeight="1" x14ac:dyDescent="0.35">
      <c r="A20" s="31" t="s">
        <v>1190</v>
      </c>
      <c r="B20" s="31"/>
      <c r="C20" s="32">
        <v>323716</v>
      </c>
      <c r="D20" s="32">
        <v>305888</v>
      </c>
      <c r="E20" s="31"/>
    </row>
    <row r="21" spans="1:5" ht="15" customHeight="1" x14ac:dyDescent="0.35">
      <c r="A21" s="31" t="s">
        <v>1191</v>
      </c>
      <c r="B21" s="31"/>
      <c r="C21" s="32">
        <v>12871</v>
      </c>
      <c r="D21" s="32">
        <v>16901</v>
      </c>
      <c r="E21" s="31"/>
    </row>
    <row r="22" spans="1:5" ht="15" customHeight="1" x14ac:dyDescent="0.35">
      <c r="A22" s="31" t="s">
        <v>1192</v>
      </c>
      <c r="B22" s="31"/>
      <c r="C22" s="32">
        <v>6675</v>
      </c>
      <c r="D22" s="32">
        <v>984</v>
      </c>
      <c r="E22" s="31"/>
    </row>
    <row r="23" spans="1:5" ht="15" customHeight="1" x14ac:dyDescent="0.35">
      <c r="A23" s="31" t="s">
        <v>1193</v>
      </c>
      <c r="B23" s="31"/>
      <c r="C23" s="32">
        <v>-6549</v>
      </c>
      <c r="D23" s="32">
        <v>-57</v>
      </c>
      <c r="E23" s="31"/>
    </row>
    <row r="25" spans="1:5" ht="18" customHeight="1" x14ac:dyDescent="0.35">
      <c r="A25" s="29" t="s">
        <v>1194</v>
      </c>
      <c r="B25" s="29"/>
      <c r="C25" s="29"/>
      <c r="D25" s="29"/>
      <c r="E25" s="29"/>
    </row>
    <row r="26" spans="1:5" ht="25.5" customHeight="1" x14ac:dyDescent="0.35">
      <c r="A26" s="30" t="s">
        <v>1096</v>
      </c>
      <c r="B26" s="30"/>
      <c r="C26" s="37" t="s">
        <v>1195</v>
      </c>
      <c r="D26" s="37" t="s">
        <v>1196</v>
      </c>
      <c r="E26" s="30"/>
    </row>
    <row r="27" spans="1:5" ht="15" customHeight="1" x14ac:dyDescent="0.35">
      <c r="A27" s="31" t="s">
        <v>1197</v>
      </c>
      <c r="B27" s="31"/>
      <c r="C27" s="32">
        <v>374820</v>
      </c>
      <c r="D27" s="32">
        <v>359240</v>
      </c>
      <c r="E27" s="31"/>
    </row>
    <row r="28" spans="1:5" ht="15" customHeight="1" x14ac:dyDescent="0.35">
      <c r="A28" s="31" t="s">
        <v>1198</v>
      </c>
      <c r="B28" s="31"/>
      <c r="C28" s="32">
        <v>-38107</v>
      </c>
      <c r="D28" s="32">
        <v>-35524</v>
      </c>
      <c r="E28" s="31"/>
    </row>
    <row r="29" spans="1:5" ht="15" customHeight="1" x14ac:dyDescent="0.35">
      <c r="A29" s="31" t="s">
        <v>1199</v>
      </c>
      <c r="B29" s="31"/>
      <c r="C29" s="32">
        <v>336713</v>
      </c>
      <c r="D29" s="32">
        <v>323716</v>
      </c>
      <c r="E29" s="31"/>
    </row>
    <row r="30" spans="1:5" ht="15" customHeight="1" x14ac:dyDescent="0.35">
      <c r="A30" s="31" t="s">
        <v>1200</v>
      </c>
      <c r="B30" s="31"/>
      <c r="C30" s="32">
        <v>48920</v>
      </c>
      <c r="D30" s="32">
        <v>43210</v>
      </c>
      <c r="E30" s="31"/>
    </row>
    <row r="31" spans="1:5" ht="15" customHeight="1" x14ac:dyDescent="0.35">
      <c r="A31" s="31" t="s">
        <v>1201</v>
      </c>
      <c r="B31" s="31"/>
      <c r="C31" s="32">
        <v>12871</v>
      </c>
      <c r="D31" s="32">
        <v>16901</v>
      </c>
      <c r="E31" s="31"/>
    </row>
    <row r="33" spans="1:5" ht="18" customHeight="1" x14ac:dyDescent="0.35">
      <c r="A33" s="29" t="s">
        <v>1202</v>
      </c>
      <c r="B33" s="29"/>
      <c r="C33" s="29"/>
      <c r="D33" s="29"/>
      <c r="E33" s="29"/>
    </row>
    <row r="34" spans="1:5" ht="25.5" customHeight="1" x14ac:dyDescent="0.35">
      <c r="A34" s="30" t="s">
        <v>1006</v>
      </c>
      <c r="B34" s="30"/>
      <c r="C34" s="37" t="s">
        <v>1097</v>
      </c>
      <c r="D34" s="37" t="s">
        <v>1098</v>
      </c>
      <c r="E34" s="30"/>
    </row>
    <row r="35" spans="1:5" ht="15" customHeight="1" x14ac:dyDescent="0.35">
      <c r="A35" s="31" t="s">
        <v>1203</v>
      </c>
      <c r="B35" s="31"/>
      <c r="C35" s="32">
        <v>133360000</v>
      </c>
      <c r="D35" s="32">
        <v>133360000</v>
      </c>
      <c r="E35" s="31" t="s">
        <v>1204</v>
      </c>
    </row>
    <row r="36" spans="1:5" ht="15" customHeight="1" x14ac:dyDescent="0.35">
      <c r="A36" s="31" t="s">
        <v>1205</v>
      </c>
      <c r="B36" s="31"/>
      <c r="C36" s="32">
        <v>11.85</v>
      </c>
      <c r="D36" s="32">
        <v>11.42</v>
      </c>
      <c r="E36" s="31" t="s">
        <v>1206</v>
      </c>
    </row>
    <row r="37" spans="1:5" ht="15" customHeight="1" x14ac:dyDescent="0.35">
      <c r="A37" s="31" t="s">
        <v>1207</v>
      </c>
      <c r="B37" s="31"/>
      <c r="C37" s="32">
        <v>1580316</v>
      </c>
      <c r="D37" s="32">
        <v>1522971</v>
      </c>
      <c r="E37" s="31" t="s">
        <v>1208</v>
      </c>
    </row>
    <row r="38" spans="1:5" ht="15" customHeight="1" x14ac:dyDescent="0.35">
      <c r="A38" s="31" t="s">
        <v>1209</v>
      </c>
      <c r="B38" s="31"/>
      <c r="C38" s="32">
        <v>336713</v>
      </c>
      <c r="D38" s="32">
        <v>323716</v>
      </c>
      <c r="E38" s="31"/>
    </row>
  </sheetData>
  <mergeCells count="15">
    <mergeCell ref="A18:E18"/>
    <mergeCell ref="A25:E25"/>
    <mergeCell ref="A33:E33"/>
    <mergeCell ref="B11:E11"/>
    <mergeCell ref="B12:E12"/>
    <mergeCell ref="B13:E13"/>
    <mergeCell ref="B14:E14"/>
    <mergeCell ref="B15:E15"/>
    <mergeCell ref="B16:E16"/>
    <mergeCell ref="A4:E4"/>
    <mergeCell ref="B6:E6"/>
    <mergeCell ref="B7:E7"/>
    <mergeCell ref="B8:E8"/>
    <mergeCell ref="B9:E9"/>
    <mergeCell ref="B10:E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8CC86-9BBF-428D-A18E-8999330C92B2}">
  <dimension ref="A1:J24"/>
  <sheetViews>
    <sheetView workbookViewId="0">
      <selection activeCell="D71" sqref="D71"/>
    </sheetView>
  </sheetViews>
  <sheetFormatPr defaultColWidth="8.6328125" defaultRowHeight="14.5" x14ac:dyDescent="0.35"/>
  <cols>
    <col min="1" max="1" width="18" style="35" customWidth="1"/>
    <col min="2" max="2" width="28" style="35" customWidth="1"/>
    <col min="3" max="3" width="35" style="35" customWidth="1"/>
    <col min="4" max="4" width="13" style="35" customWidth="1"/>
    <col min="5" max="5" width="16" style="35" customWidth="1"/>
    <col min="6" max="6" width="18" style="35" customWidth="1"/>
    <col min="7" max="7" width="12" style="35" customWidth="1"/>
    <col min="8" max="8" width="14" style="35" customWidth="1"/>
    <col min="9" max="10" width="15" style="35" customWidth="1"/>
    <col min="11" max="16384" width="8.6328125" style="35"/>
  </cols>
  <sheetData>
    <row r="1" spans="1:10" ht="18" x14ac:dyDescent="0.4">
      <c r="A1" s="34" t="s">
        <v>1210</v>
      </c>
    </row>
    <row r="2" spans="1:10" ht="15" customHeight="1" x14ac:dyDescent="0.35">
      <c r="A2" s="38"/>
    </row>
    <row r="4" spans="1:10" ht="18" customHeight="1" x14ac:dyDescent="0.35">
      <c r="A4" s="36" t="s">
        <v>1211</v>
      </c>
      <c r="B4" s="36"/>
      <c r="C4" s="36"/>
      <c r="D4" s="36"/>
      <c r="E4" s="36"/>
      <c r="F4" s="36"/>
      <c r="G4" s="36"/>
      <c r="H4" s="36"/>
      <c r="I4" s="36"/>
      <c r="J4" s="36"/>
    </row>
    <row r="5" spans="1:10" ht="23" x14ac:dyDescent="0.35">
      <c r="A5" s="37" t="s">
        <v>1212</v>
      </c>
      <c r="B5" s="37" t="s">
        <v>981</v>
      </c>
      <c r="C5" s="37" t="s">
        <v>1213</v>
      </c>
      <c r="D5" s="37" t="s">
        <v>1214</v>
      </c>
      <c r="E5" s="37" t="s">
        <v>1215</v>
      </c>
      <c r="F5" s="37" t="s">
        <v>1216</v>
      </c>
      <c r="G5" s="37" t="s">
        <v>1217</v>
      </c>
      <c r="H5" s="37" t="s">
        <v>427</v>
      </c>
      <c r="I5" s="37" t="s">
        <v>1218</v>
      </c>
      <c r="J5" s="37" t="s">
        <v>1219</v>
      </c>
    </row>
    <row r="6" spans="1:10" ht="15" customHeight="1" x14ac:dyDescent="0.35">
      <c r="A6" s="31" t="s">
        <v>1220</v>
      </c>
      <c r="B6" s="31" t="s">
        <v>1023</v>
      </c>
      <c r="C6" s="31" t="s">
        <v>1221</v>
      </c>
      <c r="D6" s="32">
        <v>2500000</v>
      </c>
      <c r="E6" s="31" t="s">
        <v>1222</v>
      </c>
      <c r="F6" s="31" t="s">
        <v>1223</v>
      </c>
      <c r="G6" s="31" t="s">
        <v>1224</v>
      </c>
      <c r="H6" s="31" t="s">
        <v>1225</v>
      </c>
      <c r="I6" s="32">
        <v>21540</v>
      </c>
      <c r="J6" s="32">
        <v>0</v>
      </c>
    </row>
    <row r="7" spans="1:10" ht="15" customHeight="1" x14ac:dyDescent="0.35">
      <c r="A7" s="31" t="s">
        <v>1226</v>
      </c>
      <c r="B7" s="31" t="s">
        <v>1027</v>
      </c>
      <c r="C7" s="31" t="s">
        <v>1227</v>
      </c>
      <c r="D7" s="32">
        <v>1500000</v>
      </c>
      <c r="E7" s="31" t="s">
        <v>1228</v>
      </c>
      <c r="F7" s="31" t="s">
        <v>1229</v>
      </c>
      <c r="G7" s="31" t="s">
        <v>1230</v>
      </c>
      <c r="H7" s="31" t="s">
        <v>1231</v>
      </c>
      <c r="I7" s="32">
        <v>0</v>
      </c>
      <c r="J7" s="32">
        <v>18340</v>
      </c>
    </row>
    <row r="8" spans="1:10" ht="15" customHeight="1" x14ac:dyDescent="0.35">
      <c r="A8" s="31" t="s">
        <v>1232</v>
      </c>
      <c r="B8" s="31" t="s">
        <v>1029</v>
      </c>
      <c r="C8" s="31" t="s">
        <v>1221</v>
      </c>
      <c r="D8" s="32">
        <v>1200000</v>
      </c>
      <c r="E8" s="31" t="s">
        <v>1233</v>
      </c>
      <c r="F8" s="31" t="s">
        <v>1234</v>
      </c>
      <c r="G8" s="31" t="s">
        <v>1235</v>
      </c>
      <c r="H8" s="31" t="s">
        <v>1236</v>
      </c>
      <c r="I8" s="32">
        <v>18920</v>
      </c>
      <c r="J8" s="32">
        <v>0</v>
      </c>
    </row>
    <row r="9" spans="1:10" ht="15" customHeight="1" x14ac:dyDescent="0.35">
      <c r="A9" s="31" t="s">
        <v>1237</v>
      </c>
      <c r="B9" s="31" t="s">
        <v>1048</v>
      </c>
      <c r="C9" s="31" t="s">
        <v>1227</v>
      </c>
      <c r="D9" s="32">
        <v>900000</v>
      </c>
      <c r="E9" s="31" t="s">
        <v>1238</v>
      </c>
      <c r="F9" s="31" t="s">
        <v>1239</v>
      </c>
      <c r="G9" s="31" t="s">
        <v>1240</v>
      </c>
      <c r="H9" s="31" t="s">
        <v>1241</v>
      </c>
      <c r="I9" s="32">
        <v>0</v>
      </c>
      <c r="J9" s="32">
        <v>14370</v>
      </c>
    </row>
    <row r="10" spans="1:10" ht="15" customHeight="1" x14ac:dyDescent="0.35">
      <c r="A10" s="31" t="s">
        <v>1242</v>
      </c>
      <c r="B10" s="31" t="s">
        <v>1050</v>
      </c>
      <c r="C10" s="31" t="s">
        <v>1221</v>
      </c>
      <c r="D10" s="32">
        <v>800000</v>
      </c>
      <c r="E10" s="31" t="s">
        <v>1243</v>
      </c>
      <c r="F10" s="31" t="s">
        <v>1244</v>
      </c>
      <c r="G10" s="31" t="s">
        <v>1245</v>
      </c>
      <c r="H10" s="31" t="s">
        <v>1246</v>
      </c>
      <c r="I10" s="32">
        <v>14230</v>
      </c>
      <c r="J10" s="32">
        <v>0</v>
      </c>
    </row>
    <row r="11" spans="1:10" ht="15" customHeight="1" x14ac:dyDescent="0.35">
      <c r="A11" s="31" t="s">
        <v>1247</v>
      </c>
      <c r="B11" s="31" t="s">
        <v>1248</v>
      </c>
      <c r="C11" s="31" t="s">
        <v>1249</v>
      </c>
      <c r="D11" s="32">
        <v>600000</v>
      </c>
      <c r="E11" s="31" t="s">
        <v>1250</v>
      </c>
      <c r="F11" s="31" t="s">
        <v>1251</v>
      </c>
      <c r="G11" s="31" t="s">
        <v>1252</v>
      </c>
      <c r="H11" s="31" t="s">
        <v>1253</v>
      </c>
      <c r="I11" s="32">
        <v>0</v>
      </c>
      <c r="J11" s="32">
        <v>11450</v>
      </c>
    </row>
    <row r="12" spans="1:10" ht="15" customHeight="1" x14ac:dyDescent="0.35">
      <c r="A12" s="31" t="s">
        <v>1254</v>
      </c>
      <c r="B12" s="31" t="s">
        <v>1073</v>
      </c>
      <c r="C12" s="31" t="s">
        <v>1221</v>
      </c>
      <c r="D12" s="32">
        <v>500000</v>
      </c>
      <c r="E12" s="31" t="s">
        <v>1255</v>
      </c>
      <c r="F12" s="31" t="s">
        <v>1256</v>
      </c>
      <c r="G12" s="31" t="s">
        <v>1257</v>
      </c>
      <c r="H12" s="31" t="s">
        <v>1258</v>
      </c>
      <c r="I12" s="32">
        <v>10820</v>
      </c>
      <c r="J12" s="32">
        <v>0</v>
      </c>
    </row>
    <row r="13" spans="1:10" ht="15" customHeight="1" x14ac:dyDescent="0.35">
      <c r="A13" s="31" t="s">
        <v>1259</v>
      </c>
      <c r="B13" s="31" t="s">
        <v>1078</v>
      </c>
      <c r="C13" s="31" t="s">
        <v>1260</v>
      </c>
      <c r="D13" s="32">
        <v>400000</v>
      </c>
      <c r="E13" s="31" t="s">
        <v>1261</v>
      </c>
      <c r="F13" s="31" t="s">
        <v>1262</v>
      </c>
      <c r="G13" s="31" t="s">
        <v>1263</v>
      </c>
      <c r="H13" s="31" t="s">
        <v>1264</v>
      </c>
      <c r="I13" s="32">
        <v>0</v>
      </c>
      <c r="J13" s="32">
        <v>5820</v>
      </c>
    </row>
    <row r="14" spans="1:10" ht="15" customHeight="1" x14ac:dyDescent="0.35">
      <c r="A14" s="31" t="s">
        <v>1265</v>
      </c>
      <c r="B14" s="31" t="s">
        <v>1081</v>
      </c>
      <c r="C14" s="31" t="s">
        <v>1266</v>
      </c>
      <c r="D14" s="32">
        <v>350000</v>
      </c>
      <c r="E14" s="31" t="s">
        <v>1267</v>
      </c>
      <c r="F14" s="31" t="s">
        <v>1268</v>
      </c>
      <c r="G14" s="31" t="s">
        <v>1269</v>
      </c>
      <c r="H14" s="31" t="s">
        <v>1270</v>
      </c>
      <c r="I14" s="32">
        <v>7938</v>
      </c>
      <c r="J14" s="32">
        <v>0</v>
      </c>
    </row>
    <row r="15" spans="1:10" ht="15" customHeight="1" x14ac:dyDescent="0.35">
      <c r="A15" s="31" t="s">
        <v>1271</v>
      </c>
      <c r="B15" s="31" t="s">
        <v>1272</v>
      </c>
      <c r="C15" s="31" t="s">
        <v>1260</v>
      </c>
      <c r="D15" s="32">
        <v>280000</v>
      </c>
      <c r="E15" s="31" t="s">
        <v>1273</v>
      </c>
      <c r="F15" s="31" t="s">
        <v>1274</v>
      </c>
      <c r="G15" s="31" t="s">
        <v>1275</v>
      </c>
      <c r="H15" s="31" t="s">
        <v>1276</v>
      </c>
      <c r="I15" s="32">
        <v>0</v>
      </c>
      <c r="J15" s="32">
        <v>5937</v>
      </c>
    </row>
    <row r="17" spans="1:10" ht="18" customHeight="1" x14ac:dyDescent="0.35">
      <c r="A17" s="36" t="s">
        <v>1277</v>
      </c>
      <c r="B17" s="36"/>
      <c r="C17" s="36"/>
      <c r="D17" s="36"/>
      <c r="E17" s="36"/>
      <c r="F17" s="36"/>
      <c r="G17" s="36"/>
      <c r="H17" s="36"/>
      <c r="I17" s="36"/>
      <c r="J17" s="36"/>
    </row>
    <row r="18" spans="1:10" ht="23" x14ac:dyDescent="0.35">
      <c r="A18" s="37" t="s">
        <v>1212</v>
      </c>
      <c r="B18" s="37" t="s">
        <v>981</v>
      </c>
      <c r="C18" s="37" t="s">
        <v>1278</v>
      </c>
      <c r="D18" s="37" t="s">
        <v>1214</v>
      </c>
      <c r="E18" s="37" t="s">
        <v>1279</v>
      </c>
      <c r="F18" s="37" t="s">
        <v>1280</v>
      </c>
      <c r="G18" s="37" t="s">
        <v>1217</v>
      </c>
      <c r="H18" s="37" t="s">
        <v>427</v>
      </c>
      <c r="I18" s="37" t="s">
        <v>1218</v>
      </c>
      <c r="J18" s="37" t="s">
        <v>1219</v>
      </c>
    </row>
    <row r="19" spans="1:10" ht="15" customHeight="1" x14ac:dyDescent="0.35">
      <c r="A19" s="31" t="s">
        <v>1281</v>
      </c>
      <c r="B19" s="31" t="s">
        <v>1023</v>
      </c>
      <c r="C19" s="31" t="s">
        <v>1282</v>
      </c>
      <c r="D19" s="32">
        <v>3000000</v>
      </c>
      <c r="E19" s="31" t="s">
        <v>1243</v>
      </c>
      <c r="F19" s="31" t="s">
        <v>1238</v>
      </c>
      <c r="G19" s="31" t="s">
        <v>1283</v>
      </c>
      <c r="H19" s="31" t="s">
        <v>1284</v>
      </c>
      <c r="I19" s="32">
        <v>0</v>
      </c>
      <c r="J19" s="32">
        <v>42380</v>
      </c>
    </row>
    <row r="20" spans="1:10" ht="15" customHeight="1" x14ac:dyDescent="0.35">
      <c r="A20" s="31" t="s">
        <v>1285</v>
      </c>
      <c r="B20" s="31" t="s">
        <v>1027</v>
      </c>
      <c r="C20" s="31" t="s">
        <v>1286</v>
      </c>
      <c r="D20" s="32">
        <v>2000000</v>
      </c>
      <c r="E20" s="31" t="s">
        <v>1233</v>
      </c>
      <c r="F20" s="31" t="s">
        <v>1228</v>
      </c>
      <c r="G20" s="31" t="s">
        <v>1287</v>
      </c>
      <c r="H20" s="31" t="s">
        <v>1288</v>
      </c>
      <c r="I20" s="32">
        <v>0</v>
      </c>
      <c r="J20" s="32">
        <v>38940</v>
      </c>
    </row>
    <row r="21" spans="1:10" ht="15" customHeight="1" x14ac:dyDescent="0.35">
      <c r="A21" s="31" t="s">
        <v>1289</v>
      </c>
      <c r="B21" s="31" t="s">
        <v>1029</v>
      </c>
      <c r="C21" s="31" t="s">
        <v>1290</v>
      </c>
      <c r="D21" s="32">
        <v>1500000</v>
      </c>
      <c r="E21" s="31" t="s">
        <v>1234</v>
      </c>
      <c r="F21" s="31" t="s">
        <v>1229</v>
      </c>
      <c r="G21" s="31" t="s">
        <v>1291</v>
      </c>
      <c r="H21" s="31" t="s">
        <v>1292</v>
      </c>
      <c r="I21" s="32">
        <v>12450</v>
      </c>
      <c r="J21" s="32">
        <v>0</v>
      </c>
    </row>
    <row r="22" spans="1:10" ht="15" customHeight="1" x14ac:dyDescent="0.35">
      <c r="A22" s="31" t="s">
        <v>1293</v>
      </c>
      <c r="B22" s="31" t="s">
        <v>1048</v>
      </c>
      <c r="C22" s="31" t="s">
        <v>1294</v>
      </c>
      <c r="D22" s="32">
        <v>1200000</v>
      </c>
      <c r="E22" s="31" t="s">
        <v>1239</v>
      </c>
      <c r="F22" s="31" t="s">
        <v>1273</v>
      </c>
      <c r="G22" s="31" t="s">
        <v>1295</v>
      </c>
      <c r="H22" s="31" t="s">
        <v>1296</v>
      </c>
      <c r="I22" s="32">
        <v>0</v>
      </c>
      <c r="J22" s="32">
        <v>28470</v>
      </c>
    </row>
    <row r="23" spans="1:10" ht="15" customHeight="1" x14ac:dyDescent="0.35">
      <c r="A23" s="31" t="s">
        <v>1297</v>
      </c>
      <c r="B23" s="31" t="s">
        <v>1248</v>
      </c>
      <c r="C23" s="31" t="s">
        <v>1298</v>
      </c>
      <c r="D23" s="32">
        <v>1000000</v>
      </c>
      <c r="E23" s="31" t="s">
        <v>1261</v>
      </c>
      <c r="F23" s="31" t="s">
        <v>1262</v>
      </c>
      <c r="G23" s="31" t="s">
        <v>1299</v>
      </c>
      <c r="H23" s="31" t="s">
        <v>1300</v>
      </c>
      <c r="I23" s="32">
        <v>10285</v>
      </c>
      <c r="J23" s="32">
        <v>0</v>
      </c>
    </row>
    <row r="24" spans="1:10" ht="15" customHeight="1" x14ac:dyDescent="0.35">
      <c r="A24" s="31" t="s">
        <v>1301</v>
      </c>
      <c r="B24" s="31" t="s">
        <v>1078</v>
      </c>
      <c r="C24" s="31" t="s">
        <v>1302</v>
      </c>
      <c r="D24" s="32">
        <v>800000</v>
      </c>
      <c r="E24" s="31" t="s">
        <v>1303</v>
      </c>
      <c r="F24" s="31" t="s">
        <v>1304</v>
      </c>
      <c r="G24" s="31" t="s">
        <v>1240</v>
      </c>
      <c r="H24" s="31" t="s">
        <v>1305</v>
      </c>
      <c r="I24" s="32">
        <v>0</v>
      </c>
      <c r="J24" s="32">
        <v>15200</v>
      </c>
    </row>
  </sheetData>
  <mergeCells count="2">
    <mergeCell ref="A4:J4"/>
    <mergeCell ref="A17:J1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BAE48-9C2D-4ADF-8521-7D782E6A09D1}">
  <dimension ref="A1:G42"/>
  <sheetViews>
    <sheetView workbookViewId="0">
      <selection activeCell="D71" sqref="D71"/>
    </sheetView>
  </sheetViews>
  <sheetFormatPr defaultColWidth="8.6328125" defaultRowHeight="14.5" x14ac:dyDescent="0.35"/>
  <cols>
    <col min="1" max="1" width="40" style="35" customWidth="1"/>
    <col min="2" max="2" width="12" style="35" customWidth="1"/>
    <col min="3" max="3" width="38" style="35" customWidth="1"/>
    <col min="4" max="5" width="16" style="35" customWidth="1"/>
    <col min="6" max="7" width="14" style="35" customWidth="1"/>
    <col min="8" max="16384" width="8.6328125" style="35"/>
  </cols>
  <sheetData>
    <row r="1" spans="1:7" ht="17.25" customHeight="1" x14ac:dyDescent="0.4">
      <c r="A1" s="34" t="s">
        <v>1306</v>
      </c>
    </row>
    <row r="3" spans="1:7" ht="18" customHeight="1" x14ac:dyDescent="0.35">
      <c r="A3" s="36" t="s">
        <v>1307</v>
      </c>
      <c r="B3" s="36"/>
      <c r="C3" s="36"/>
      <c r="D3" s="36"/>
      <c r="E3" s="36"/>
      <c r="F3" s="36"/>
      <c r="G3" s="36"/>
    </row>
    <row r="4" spans="1:7" ht="25.5" customHeight="1" x14ac:dyDescent="0.35">
      <c r="A4" s="37" t="s">
        <v>1019</v>
      </c>
      <c r="B4" s="37" t="s">
        <v>1020</v>
      </c>
      <c r="C4" s="37" t="s">
        <v>425</v>
      </c>
      <c r="D4" s="37" t="s">
        <v>997</v>
      </c>
      <c r="E4" s="37" t="s">
        <v>998</v>
      </c>
      <c r="F4" s="37" t="s">
        <v>1308</v>
      </c>
      <c r="G4" s="37" t="s">
        <v>940</v>
      </c>
    </row>
    <row r="5" spans="1:7" ht="15" customHeight="1" x14ac:dyDescent="0.35">
      <c r="A5" s="31" t="s">
        <v>1081</v>
      </c>
      <c r="B5" s="31" t="s">
        <v>1041</v>
      </c>
      <c r="C5" s="31" t="s">
        <v>453</v>
      </c>
      <c r="D5" s="32">
        <v>87340</v>
      </c>
      <c r="E5" s="32">
        <v>71230</v>
      </c>
      <c r="F5" s="31" t="s">
        <v>1309</v>
      </c>
      <c r="G5" s="31" t="s">
        <v>1310</v>
      </c>
    </row>
    <row r="6" spans="1:7" ht="15" customHeight="1" x14ac:dyDescent="0.35">
      <c r="A6" s="31" t="s">
        <v>1078</v>
      </c>
      <c r="B6" s="31" t="s">
        <v>1041</v>
      </c>
      <c r="C6" s="31" t="s">
        <v>453</v>
      </c>
      <c r="D6" s="32">
        <v>65420</v>
      </c>
      <c r="E6" s="32">
        <v>54320</v>
      </c>
      <c r="F6" s="31" t="s">
        <v>1309</v>
      </c>
      <c r="G6" s="31" t="s">
        <v>1311</v>
      </c>
    </row>
    <row r="7" spans="1:7" ht="15" customHeight="1" x14ac:dyDescent="0.35">
      <c r="A7" s="31" t="s">
        <v>1312</v>
      </c>
      <c r="B7" s="31" t="s">
        <v>1033</v>
      </c>
      <c r="C7" s="31" t="s">
        <v>1313</v>
      </c>
      <c r="D7" s="32">
        <v>52180</v>
      </c>
      <c r="E7" s="32">
        <v>44180</v>
      </c>
      <c r="F7" s="31" t="s">
        <v>1309</v>
      </c>
      <c r="G7" s="31" t="s">
        <v>1314</v>
      </c>
    </row>
    <row r="8" spans="1:7" ht="15" customHeight="1" x14ac:dyDescent="0.35">
      <c r="A8" s="31" t="s">
        <v>1043</v>
      </c>
      <c r="B8" s="31" t="s">
        <v>1044</v>
      </c>
      <c r="C8" s="31" t="s">
        <v>975</v>
      </c>
      <c r="D8" s="32">
        <v>42610</v>
      </c>
      <c r="E8" s="32">
        <v>38640</v>
      </c>
      <c r="F8" s="31" t="s">
        <v>1309</v>
      </c>
      <c r="G8" s="31" t="s">
        <v>1315</v>
      </c>
    </row>
    <row r="9" spans="1:7" ht="15" customHeight="1" x14ac:dyDescent="0.35">
      <c r="A9" s="31" t="s">
        <v>1316</v>
      </c>
      <c r="B9" s="31" t="s">
        <v>1317</v>
      </c>
      <c r="C9" s="31" t="s">
        <v>975</v>
      </c>
      <c r="D9" s="32">
        <v>31450</v>
      </c>
      <c r="E9" s="32">
        <v>27840</v>
      </c>
      <c r="F9" s="31" t="s">
        <v>1309</v>
      </c>
      <c r="G9" s="31" t="s">
        <v>1318</v>
      </c>
    </row>
    <row r="10" spans="1:7" ht="15" customHeight="1" x14ac:dyDescent="0.35">
      <c r="A10" s="31" t="s">
        <v>1046</v>
      </c>
      <c r="B10" s="31" t="s">
        <v>1319</v>
      </c>
      <c r="C10" s="31" t="s">
        <v>1320</v>
      </c>
      <c r="D10" s="32">
        <v>21340</v>
      </c>
      <c r="E10" s="32">
        <v>18920</v>
      </c>
      <c r="F10" s="31" t="s">
        <v>1309</v>
      </c>
      <c r="G10" s="31" t="s">
        <v>1321</v>
      </c>
    </row>
    <row r="11" spans="1:7" ht="15" customHeight="1" x14ac:dyDescent="0.35">
      <c r="A11" s="31" t="s">
        <v>1023</v>
      </c>
      <c r="B11" s="31" t="s">
        <v>1024</v>
      </c>
      <c r="C11" s="31" t="s">
        <v>439</v>
      </c>
      <c r="D11" s="32">
        <v>17320</v>
      </c>
      <c r="E11" s="32">
        <v>14230</v>
      </c>
      <c r="F11" s="31" t="s">
        <v>1322</v>
      </c>
      <c r="G11" s="31" t="s">
        <v>1323</v>
      </c>
    </row>
    <row r="12" spans="1:7" ht="15" customHeight="1" x14ac:dyDescent="0.35">
      <c r="A12" s="31" t="s">
        <v>1048</v>
      </c>
      <c r="B12" s="31" t="s">
        <v>1024</v>
      </c>
      <c r="C12" s="31" t="s">
        <v>439</v>
      </c>
      <c r="D12" s="32">
        <v>12450</v>
      </c>
      <c r="E12" s="32">
        <v>12543</v>
      </c>
      <c r="F12" s="31" t="s">
        <v>1322</v>
      </c>
      <c r="G12" s="31" t="s">
        <v>1324</v>
      </c>
    </row>
    <row r="13" spans="1:7" ht="15" customHeight="1" x14ac:dyDescent="0.35">
      <c r="A13" s="31" t="s">
        <v>1325</v>
      </c>
      <c r="B13" s="31" t="s">
        <v>251</v>
      </c>
      <c r="C13" s="31" t="s">
        <v>251</v>
      </c>
      <c r="D13" s="32">
        <v>9967</v>
      </c>
      <c r="E13" s="32">
        <v>14200</v>
      </c>
      <c r="F13" s="31" t="s">
        <v>1309</v>
      </c>
      <c r="G13" s="31" t="s">
        <v>1326</v>
      </c>
    </row>
    <row r="15" spans="1:7" ht="18" customHeight="1" x14ac:dyDescent="0.35">
      <c r="A15" s="36" t="s">
        <v>1327</v>
      </c>
      <c r="B15" s="36"/>
      <c r="C15" s="36"/>
      <c r="D15" s="36"/>
      <c r="E15" s="36"/>
      <c r="F15" s="36"/>
      <c r="G15" s="36"/>
    </row>
    <row r="16" spans="1:7" ht="25.5" customHeight="1" x14ac:dyDescent="0.35">
      <c r="A16" s="37" t="s">
        <v>981</v>
      </c>
      <c r="B16" s="37" t="s">
        <v>1020</v>
      </c>
      <c r="C16" s="37" t="s">
        <v>425</v>
      </c>
      <c r="D16" s="37" t="s">
        <v>997</v>
      </c>
      <c r="E16" s="37" t="s">
        <v>998</v>
      </c>
      <c r="F16" s="37" t="s">
        <v>624</v>
      </c>
      <c r="G16" s="37" t="s">
        <v>427</v>
      </c>
    </row>
    <row r="17" spans="1:7" ht="15" customHeight="1" x14ac:dyDescent="0.35">
      <c r="A17" s="31" t="s">
        <v>1328</v>
      </c>
      <c r="B17" s="31" t="s">
        <v>1024</v>
      </c>
      <c r="C17" s="31" t="s">
        <v>439</v>
      </c>
      <c r="D17" s="32">
        <v>4500000</v>
      </c>
      <c r="E17" s="32">
        <v>2000000</v>
      </c>
      <c r="F17" s="31" t="s">
        <v>1329</v>
      </c>
      <c r="G17" s="31" t="s">
        <v>1054</v>
      </c>
    </row>
    <row r="18" spans="1:7" ht="15" customHeight="1" x14ac:dyDescent="0.35">
      <c r="A18" s="31" t="s">
        <v>1023</v>
      </c>
      <c r="B18" s="31" t="s">
        <v>1024</v>
      </c>
      <c r="C18" s="31" t="s">
        <v>439</v>
      </c>
      <c r="D18" s="32">
        <v>2850000</v>
      </c>
      <c r="E18" s="32">
        <v>1250000</v>
      </c>
      <c r="F18" s="31" t="s">
        <v>993</v>
      </c>
      <c r="G18" s="31" t="s">
        <v>1056</v>
      </c>
    </row>
    <row r="19" spans="1:7" ht="15" customHeight="1" x14ac:dyDescent="0.35">
      <c r="A19" s="31" t="s">
        <v>1027</v>
      </c>
      <c r="B19" s="31" t="s">
        <v>1024</v>
      </c>
      <c r="C19" s="31" t="s">
        <v>439</v>
      </c>
      <c r="D19" s="32">
        <v>2100000</v>
      </c>
      <c r="E19" s="32">
        <v>950000</v>
      </c>
      <c r="F19" s="31" t="s">
        <v>1058</v>
      </c>
      <c r="G19" s="31" t="s">
        <v>1059</v>
      </c>
    </row>
    <row r="20" spans="1:7" ht="15" customHeight="1" x14ac:dyDescent="0.35">
      <c r="A20" s="31" t="s">
        <v>1029</v>
      </c>
      <c r="B20" s="31" t="s">
        <v>1024</v>
      </c>
      <c r="C20" s="31" t="s">
        <v>439</v>
      </c>
      <c r="D20" s="32">
        <v>1780000</v>
      </c>
      <c r="E20" s="32">
        <v>820000</v>
      </c>
      <c r="F20" s="31" t="s">
        <v>990</v>
      </c>
      <c r="G20" s="31" t="s">
        <v>1066</v>
      </c>
    </row>
    <row r="21" spans="1:7" ht="15" customHeight="1" x14ac:dyDescent="0.35">
      <c r="A21" s="31" t="s">
        <v>1048</v>
      </c>
      <c r="B21" s="31" t="s">
        <v>1024</v>
      </c>
      <c r="C21" s="31" t="s">
        <v>439</v>
      </c>
      <c r="D21" s="32">
        <v>1450000</v>
      </c>
      <c r="E21" s="32">
        <v>680000</v>
      </c>
      <c r="F21" s="31" t="s">
        <v>1330</v>
      </c>
      <c r="G21" s="31" t="s">
        <v>992</v>
      </c>
    </row>
    <row r="22" spans="1:7" ht="15" customHeight="1" x14ac:dyDescent="0.35">
      <c r="A22" s="31" t="s">
        <v>1050</v>
      </c>
      <c r="B22" s="31" t="s">
        <v>1024</v>
      </c>
      <c r="C22" s="31" t="s">
        <v>439</v>
      </c>
      <c r="D22" s="32">
        <v>1230000</v>
      </c>
      <c r="E22" s="32">
        <v>560000</v>
      </c>
      <c r="F22" s="31" t="s">
        <v>1331</v>
      </c>
      <c r="G22" s="31" t="s">
        <v>1077</v>
      </c>
    </row>
    <row r="23" spans="1:7" ht="15" customHeight="1" x14ac:dyDescent="0.35">
      <c r="A23" s="31" t="s">
        <v>1086</v>
      </c>
      <c r="B23" s="31" t="s">
        <v>1024</v>
      </c>
      <c r="C23" s="31" t="s">
        <v>439</v>
      </c>
      <c r="D23" s="32">
        <v>980000</v>
      </c>
      <c r="E23" s="32">
        <v>420000</v>
      </c>
      <c r="F23" s="31" t="s">
        <v>1332</v>
      </c>
      <c r="G23" s="31" t="s">
        <v>1084</v>
      </c>
    </row>
    <row r="24" spans="1:7" ht="15" customHeight="1" x14ac:dyDescent="0.35">
      <c r="A24" s="31" t="s">
        <v>1091</v>
      </c>
      <c r="B24" s="31" t="s">
        <v>1024</v>
      </c>
      <c r="C24" s="31" t="s">
        <v>439</v>
      </c>
      <c r="D24" s="32">
        <v>750000</v>
      </c>
      <c r="E24" s="32">
        <v>380000</v>
      </c>
      <c r="F24" s="31" t="s">
        <v>1333</v>
      </c>
      <c r="G24" s="31" t="s">
        <v>1334</v>
      </c>
    </row>
    <row r="25" spans="1:7" ht="15" customHeight="1" x14ac:dyDescent="0.35">
      <c r="A25" s="31" t="s">
        <v>1335</v>
      </c>
      <c r="B25" s="31" t="s">
        <v>1061</v>
      </c>
      <c r="C25" s="31" t="s">
        <v>453</v>
      </c>
      <c r="D25" s="32">
        <v>620000</v>
      </c>
      <c r="E25" s="32">
        <v>780000</v>
      </c>
      <c r="F25" s="31" t="s">
        <v>1080</v>
      </c>
      <c r="G25" s="31" t="s">
        <v>989</v>
      </c>
    </row>
    <row r="26" spans="1:7" ht="15" customHeight="1" x14ac:dyDescent="0.35">
      <c r="A26" s="31" t="s">
        <v>1336</v>
      </c>
      <c r="B26" s="31" t="s">
        <v>1061</v>
      </c>
      <c r="C26" s="31" t="s">
        <v>453</v>
      </c>
      <c r="D26" s="32">
        <v>480000</v>
      </c>
      <c r="E26" s="32">
        <v>340000</v>
      </c>
      <c r="F26" s="31" t="s">
        <v>1337</v>
      </c>
      <c r="G26" s="31" t="s">
        <v>1054</v>
      </c>
    </row>
    <row r="27" spans="1:7" ht="15" customHeight="1" x14ac:dyDescent="0.35">
      <c r="A27" s="31" t="s">
        <v>1338</v>
      </c>
      <c r="B27" s="31" t="s">
        <v>1037</v>
      </c>
      <c r="C27" s="31" t="s">
        <v>1075</v>
      </c>
      <c r="D27" s="32">
        <v>410000</v>
      </c>
      <c r="E27" s="32">
        <v>260000</v>
      </c>
      <c r="F27" s="31" t="s">
        <v>1339</v>
      </c>
      <c r="G27" s="31" t="s">
        <v>1340</v>
      </c>
    </row>
    <row r="28" spans="1:7" ht="15" customHeight="1" x14ac:dyDescent="0.35">
      <c r="A28" s="31" t="s">
        <v>1067</v>
      </c>
      <c r="B28" s="31" t="s">
        <v>1068</v>
      </c>
      <c r="C28" s="31" t="s">
        <v>1070</v>
      </c>
      <c r="D28" s="32">
        <v>352704</v>
      </c>
      <c r="E28" s="32">
        <v>0</v>
      </c>
      <c r="F28" s="31" t="s">
        <v>1341</v>
      </c>
      <c r="G28" s="31" t="s">
        <v>1072</v>
      </c>
    </row>
    <row r="29" spans="1:7" ht="15" customHeight="1" x14ac:dyDescent="0.35">
      <c r="A29" s="31" t="s">
        <v>1342</v>
      </c>
      <c r="B29" s="31" t="s">
        <v>1343</v>
      </c>
      <c r="C29" s="31" t="s">
        <v>1344</v>
      </c>
      <c r="D29" s="32">
        <v>430000</v>
      </c>
      <c r="E29" s="32">
        <v>0</v>
      </c>
      <c r="F29" s="31" t="s">
        <v>1345</v>
      </c>
      <c r="G29" s="31" t="s">
        <v>1346</v>
      </c>
    </row>
    <row r="31" spans="1:7" ht="18" customHeight="1" x14ac:dyDescent="0.35">
      <c r="A31" s="36" t="s">
        <v>1347</v>
      </c>
      <c r="B31" s="36"/>
      <c r="C31" s="36"/>
      <c r="D31" s="36"/>
      <c r="E31" s="36"/>
      <c r="F31" s="36"/>
      <c r="G31" s="36"/>
    </row>
    <row r="32" spans="1:7" ht="25.5" customHeight="1" x14ac:dyDescent="0.35">
      <c r="A32" s="37" t="s">
        <v>981</v>
      </c>
      <c r="B32" s="37" t="s">
        <v>1020</v>
      </c>
      <c r="C32" s="37" t="s">
        <v>1348</v>
      </c>
      <c r="D32" s="37" t="s">
        <v>997</v>
      </c>
      <c r="E32" s="37" t="s">
        <v>998</v>
      </c>
      <c r="F32" s="37" t="s">
        <v>1349</v>
      </c>
      <c r="G32" s="37" t="s">
        <v>427</v>
      </c>
    </row>
    <row r="33" spans="1:7" ht="15" customHeight="1" x14ac:dyDescent="0.35">
      <c r="A33" s="31" t="s">
        <v>1350</v>
      </c>
      <c r="B33" s="31" t="s">
        <v>1024</v>
      </c>
      <c r="C33" s="31" t="s">
        <v>1351</v>
      </c>
      <c r="D33" s="32">
        <v>2000000</v>
      </c>
      <c r="E33" s="32">
        <v>4500000</v>
      </c>
      <c r="F33" s="31" t="s">
        <v>1329</v>
      </c>
      <c r="G33" s="31" t="s">
        <v>989</v>
      </c>
    </row>
    <row r="34" spans="1:7" ht="15" customHeight="1" x14ac:dyDescent="0.35">
      <c r="A34" s="31" t="s">
        <v>1023</v>
      </c>
      <c r="B34" s="31" t="s">
        <v>1024</v>
      </c>
      <c r="C34" s="31" t="s">
        <v>1351</v>
      </c>
      <c r="D34" s="32">
        <v>1200000</v>
      </c>
      <c r="E34" s="32">
        <v>2800000</v>
      </c>
      <c r="F34" s="31" t="s">
        <v>987</v>
      </c>
      <c r="G34" s="31" t="s">
        <v>1054</v>
      </c>
    </row>
    <row r="35" spans="1:7" ht="15" customHeight="1" x14ac:dyDescent="0.35">
      <c r="A35" s="31" t="s">
        <v>1029</v>
      </c>
      <c r="B35" s="31" t="s">
        <v>1024</v>
      </c>
      <c r="C35" s="31" t="s">
        <v>1351</v>
      </c>
      <c r="D35" s="32">
        <v>950000</v>
      </c>
      <c r="E35" s="32">
        <v>1850000</v>
      </c>
      <c r="F35" s="31" t="s">
        <v>1090</v>
      </c>
      <c r="G35" s="31" t="s">
        <v>1066</v>
      </c>
    </row>
    <row r="36" spans="1:7" ht="15" customHeight="1" x14ac:dyDescent="0.35">
      <c r="A36" s="31" t="s">
        <v>1027</v>
      </c>
      <c r="B36" s="31" t="s">
        <v>1024</v>
      </c>
      <c r="C36" s="31" t="s">
        <v>1351</v>
      </c>
      <c r="D36" s="32">
        <v>789449</v>
      </c>
      <c r="E36" s="32">
        <v>872707</v>
      </c>
      <c r="F36" s="31" t="s">
        <v>1093</v>
      </c>
      <c r="G36" s="31" t="s">
        <v>1059</v>
      </c>
    </row>
    <row r="37" spans="1:7" ht="15" customHeight="1" x14ac:dyDescent="0.35">
      <c r="A37" s="31" t="s">
        <v>1050</v>
      </c>
      <c r="B37" s="31" t="s">
        <v>1024</v>
      </c>
      <c r="C37" s="31" t="s">
        <v>1352</v>
      </c>
      <c r="D37" s="32">
        <v>700000</v>
      </c>
      <c r="E37" s="32">
        <v>550000</v>
      </c>
      <c r="F37" s="31" t="s">
        <v>993</v>
      </c>
      <c r="G37" s="31" t="s">
        <v>992</v>
      </c>
    </row>
    <row r="39" spans="1:7" ht="18" customHeight="1" x14ac:dyDescent="0.35">
      <c r="A39" s="36" t="s">
        <v>1353</v>
      </c>
      <c r="B39" s="36"/>
      <c r="C39" s="36"/>
      <c r="D39" s="36"/>
      <c r="E39" s="36"/>
      <c r="F39" s="36"/>
      <c r="G39" s="36"/>
    </row>
    <row r="40" spans="1:7" ht="15" customHeight="1" x14ac:dyDescent="0.35">
      <c r="A40" s="31" t="s">
        <v>1354</v>
      </c>
      <c r="B40" s="31"/>
      <c r="C40" s="31"/>
      <c r="D40" s="32">
        <v>340077</v>
      </c>
      <c r="E40" s="32">
        <v>296103</v>
      </c>
      <c r="F40" s="31"/>
      <c r="G40" s="31"/>
    </row>
    <row r="41" spans="1:7" ht="15" customHeight="1" x14ac:dyDescent="0.35">
      <c r="A41" s="31" t="s">
        <v>77</v>
      </c>
      <c r="B41" s="31"/>
      <c r="C41" s="31"/>
      <c r="D41" s="32">
        <v>17932704</v>
      </c>
      <c r="E41" s="32">
        <v>8440523</v>
      </c>
      <c r="F41" s="31"/>
      <c r="G41" s="31"/>
    </row>
    <row r="42" spans="1:7" ht="15" customHeight="1" x14ac:dyDescent="0.35">
      <c r="A42" s="31" t="s">
        <v>78</v>
      </c>
      <c r="B42" s="31"/>
      <c r="C42" s="31"/>
      <c r="D42" s="32">
        <v>5639449</v>
      </c>
      <c r="E42" s="32">
        <v>10572707</v>
      </c>
      <c r="F42" s="31"/>
      <c r="G42" s="31"/>
    </row>
  </sheetData>
  <mergeCells count="4">
    <mergeCell ref="A3:G3"/>
    <mergeCell ref="A15:G15"/>
    <mergeCell ref="A31:G31"/>
    <mergeCell ref="A39:G3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B645F-D2A1-4CCE-977B-3331E0A94EAD}">
  <dimension ref="A1:F33"/>
  <sheetViews>
    <sheetView workbookViewId="0">
      <selection activeCell="D71" sqref="D71"/>
    </sheetView>
  </sheetViews>
  <sheetFormatPr defaultColWidth="8.6328125" defaultRowHeight="14.5" x14ac:dyDescent="0.35"/>
  <cols>
    <col min="1" max="1" width="34" style="35" customWidth="1"/>
    <col min="2" max="2" width="22" style="35" customWidth="1"/>
    <col min="3" max="6" width="18" style="35" customWidth="1"/>
    <col min="7" max="16384" width="8.6328125" style="35"/>
  </cols>
  <sheetData>
    <row r="1" spans="1:6" ht="17.25" customHeight="1" x14ac:dyDescent="0.4">
      <c r="A1" s="34" t="s">
        <v>1355</v>
      </c>
    </row>
    <row r="3" spans="1:6" ht="18" customHeight="1" x14ac:dyDescent="0.35">
      <c r="A3" s="36" t="s">
        <v>1356</v>
      </c>
      <c r="B3" s="36"/>
      <c r="C3" s="36"/>
      <c r="D3" s="36"/>
      <c r="E3" s="36"/>
      <c r="F3" s="36"/>
    </row>
    <row r="4" spans="1:6" ht="25.5" customHeight="1" x14ac:dyDescent="0.35">
      <c r="A4" s="37" t="s">
        <v>1357</v>
      </c>
      <c r="B4" s="37" t="s">
        <v>1358</v>
      </c>
      <c r="C4" s="37" t="s">
        <v>997</v>
      </c>
      <c r="D4" s="37" t="s">
        <v>998</v>
      </c>
      <c r="E4" s="37" t="s">
        <v>1359</v>
      </c>
      <c r="F4" s="37" t="s">
        <v>940</v>
      </c>
    </row>
    <row r="5" spans="1:6" ht="15" customHeight="1" x14ac:dyDescent="0.35">
      <c r="A5" s="31" t="s">
        <v>1360</v>
      </c>
      <c r="B5" s="31" t="s">
        <v>1361</v>
      </c>
      <c r="C5" s="32">
        <v>16823456</v>
      </c>
      <c r="D5" s="32">
        <v>18142380</v>
      </c>
      <c r="E5" s="31" t="s">
        <v>1362</v>
      </c>
      <c r="F5" s="31" t="s">
        <v>1363</v>
      </c>
    </row>
    <row r="6" spans="1:6" ht="15" customHeight="1" x14ac:dyDescent="0.35">
      <c r="A6" s="31" t="s">
        <v>1360</v>
      </c>
      <c r="B6" s="31" t="s">
        <v>1364</v>
      </c>
      <c r="C6" s="32">
        <v>15223031</v>
      </c>
      <c r="D6" s="32">
        <v>16422263</v>
      </c>
      <c r="E6" s="31" t="s">
        <v>1362</v>
      </c>
      <c r="F6" s="31" t="s">
        <v>1363</v>
      </c>
    </row>
    <row r="7" spans="1:6" ht="15" customHeight="1" x14ac:dyDescent="0.35">
      <c r="A7" s="31" t="s">
        <v>81</v>
      </c>
      <c r="B7" s="31" t="s">
        <v>1365</v>
      </c>
      <c r="C7" s="32">
        <v>8234567</v>
      </c>
      <c r="D7" s="32">
        <v>6723458</v>
      </c>
      <c r="E7" s="31" t="s">
        <v>1366</v>
      </c>
      <c r="F7" s="31" t="s">
        <v>1367</v>
      </c>
    </row>
    <row r="8" spans="1:6" ht="15" customHeight="1" x14ac:dyDescent="0.35">
      <c r="A8" s="31" t="s">
        <v>81</v>
      </c>
      <c r="B8" s="31" t="s">
        <v>1368</v>
      </c>
      <c r="C8" s="32">
        <v>5419591</v>
      </c>
      <c r="D8" s="32">
        <v>4390646</v>
      </c>
      <c r="E8" s="31" t="s">
        <v>1366</v>
      </c>
      <c r="F8" s="31" t="s">
        <v>1367</v>
      </c>
    </row>
    <row r="9" spans="1:6" ht="15" customHeight="1" x14ac:dyDescent="0.35">
      <c r="A9" s="31" t="s">
        <v>82</v>
      </c>
      <c r="B9" s="31" t="s">
        <v>1369</v>
      </c>
      <c r="C9" s="32">
        <v>12456780</v>
      </c>
      <c r="D9" s="32">
        <v>10234560</v>
      </c>
      <c r="E9" s="31" t="s">
        <v>1366</v>
      </c>
      <c r="F9" s="31" t="s">
        <v>1370</v>
      </c>
    </row>
    <row r="10" spans="1:6" ht="15" customHeight="1" x14ac:dyDescent="0.35">
      <c r="A10" s="31" t="s">
        <v>82</v>
      </c>
      <c r="B10" s="31" t="s">
        <v>1371</v>
      </c>
      <c r="C10" s="32">
        <v>8934560</v>
      </c>
      <c r="D10" s="32">
        <v>7823450</v>
      </c>
      <c r="E10" s="31" t="s">
        <v>1366</v>
      </c>
      <c r="F10" s="31" t="s">
        <v>1372</v>
      </c>
    </row>
    <row r="11" spans="1:6" ht="15" customHeight="1" x14ac:dyDescent="0.35">
      <c r="A11" s="31" t="s">
        <v>82</v>
      </c>
      <c r="B11" s="31" t="s">
        <v>1373</v>
      </c>
      <c r="C11" s="32">
        <v>6123450</v>
      </c>
      <c r="D11" s="32">
        <v>5674320</v>
      </c>
      <c r="E11" s="31" t="s">
        <v>1366</v>
      </c>
      <c r="F11" s="31" t="s">
        <v>1372</v>
      </c>
    </row>
    <row r="12" spans="1:6" ht="15" customHeight="1" x14ac:dyDescent="0.35">
      <c r="A12" s="31" t="s">
        <v>82</v>
      </c>
      <c r="B12" s="31" t="s">
        <v>1374</v>
      </c>
      <c r="C12" s="32">
        <v>4234560</v>
      </c>
      <c r="D12" s="32">
        <v>3982340</v>
      </c>
      <c r="E12" s="31" t="s">
        <v>1366</v>
      </c>
      <c r="F12" s="31" t="s">
        <v>1372</v>
      </c>
    </row>
    <row r="13" spans="1:6" ht="15" customHeight="1" x14ac:dyDescent="0.35">
      <c r="A13" s="31" t="s">
        <v>82</v>
      </c>
      <c r="B13" s="31" t="s">
        <v>1375</v>
      </c>
      <c r="C13" s="32">
        <v>18234560</v>
      </c>
      <c r="D13" s="32">
        <v>16234560</v>
      </c>
      <c r="E13" s="31" t="s">
        <v>1366</v>
      </c>
      <c r="F13" s="31" t="s">
        <v>1376</v>
      </c>
    </row>
    <row r="14" spans="1:6" ht="15" customHeight="1" x14ac:dyDescent="0.35">
      <c r="A14" s="31" t="s">
        <v>82</v>
      </c>
      <c r="B14" s="31" t="s">
        <v>1377</v>
      </c>
      <c r="C14" s="32">
        <v>9456780</v>
      </c>
      <c r="D14" s="32">
        <v>8023450</v>
      </c>
      <c r="E14" s="31" t="s">
        <v>1366</v>
      </c>
      <c r="F14" s="31" t="s">
        <v>1376</v>
      </c>
    </row>
    <row r="15" spans="1:6" ht="15" customHeight="1" x14ac:dyDescent="0.35">
      <c r="A15" s="31" t="s">
        <v>82</v>
      </c>
      <c r="B15" s="31" t="s">
        <v>1378</v>
      </c>
      <c r="C15" s="32">
        <v>5234560</v>
      </c>
      <c r="D15" s="32">
        <v>5123450</v>
      </c>
      <c r="E15" s="31" t="s">
        <v>1366</v>
      </c>
      <c r="F15" s="31" t="s">
        <v>1376</v>
      </c>
    </row>
    <row r="16" spans="1:6" ht="15" customHeight="1" x14ac:dyDescent="0.35">
      <c r="A16" s="31" t="s">
        <v>82</v>
      </c>
      <c r="B16" s="31" t="s">
        <v>1379</v>
      </c>
      <c r="C16" s="32">
        <v>2723638</v>
      </c>
      <c r="D16" s="32">
        <v>3097733</v>
      </c>
      <c r="E16" s="31" t="s">
        <v>1366</v>
      </c>
      <c r="F16" s="31" t="s">
        <v>1376</v>
      </c>
    </row>
    <row r="17" spans="1:6" ht="15" customHeight="1" x14ac:dyDescent="0.35">
      <c r="A17" s="31" t="s">
        <v>1380</v>
      </c>
      <c r="B17" s="31" t="s">
        <v>1381</v>
      </c>
      <c r="C17" s="32">
        <v>823450</v>
      </c>
      <c r="D17" s="32">
        <v>845230</v>
      </c>
      <c r="E17" s="31" t="s">
        <v>1362</v>
      </c>
      <c r="F17" s="31" t="s">
        <v>1382</v>
      </c>
    </row>
    <row r="18" spans="1:6" ht="15" customHeight="1" x14ac:dyDescent="0.35">
      <c r="A18" s="31" t="s">
        <v>1380</v>
      </c>
      <c r="B18" s="31" t="s">
        <v>1383</v>
      </c>
      <c r="C18" s="32">
        <v>689450</v>
      </c>
      <c r="D18" s="32">
        <v>702340</v>
      </c>
      <c r="E18" s="31" t="s">
        <v>1362</v>
      </c>
      <c r="F18" s="31" t="s">
        <v>1384</v>
      </c>
    </row>
    <row r="19" spans="1:6" ht="15" customHeight="1" x14ac:dyDescent="0.35">
      <c r="A19" s="31" t="s">
        <v>1380</v>
      </c>
      <c r="B19" s="31" t="s">
        <v>1385</v>
      </c>
      <c r="C19" s="32">
        <v>467892</v>
      </c>
      <c r="D19" s="32">
        <v>534214</v>
      </c>
      <c r="E19" s="31" t="s">
        <v>1362</v>
      </c>
      <c r="F19" s="31" t="s">
        <v>1386</v>
      </c>
    </row>
    <row r="20" spans="1:6" ht="15" customHeight="1" x14ac:dyDescent="0.35">
      <c r="A20" s="31" t="s">
        <v>1380</v>
      </c>
      <c r="B20" s="31" t="s">
        <v>1387</v>
      </c>
      <c r="C20" s="32">
        <v>314990</v>
      </c>
      <c r="D20" s="32">
        <v>232120</v>
      </c>
      <c r="E20" s="31" t="s">
        <v>251</v>
      </c>
      <c r="F20" s="31" t="s">
        <v>1388</v>
      </c>
    </row>
    <row r="22" spans="1:6" ht="18" customHeight="1" x14ac:dyDescent="0.35">
      <c r="A22" s="36" t="s">
        <v>1389</v>
      </c>
      <c r="B22" s="36"/>
      <c r="C22" s="36"/>
      <c r="D22" s="36"/>
      <c r="E22" s="36"/>
      <c r="F22" s="36"/>
    </row>
    <row r="23" spans="1:6" ht="25.5" customHeight="1" x14ac:dyDescent="0.35">
      <c r="A23" s="37" t="s">
        <v>1390</v>
      </c>
      <c r="B23" s="37"/>
      <c r="C23" s="37" t="s">
        <v>997</v>
      </c>
      <c r="D23" s="37" t="s">
        <v>998</v>
      </c>
      <c r="E23" s="37" t="s">
        <v>1391</v>
      </c>
      <c r="F23" s="37"/>
    </row>
    <row r="24" spans="1:6" ht="15" customHeight="1" x14ac:dyDescent="0.35">
      <c r="A24" s="31" t="s">
        <v>1392</v>
      </c>
      <c r="B24" s="31"/>
      <c r="C24" s="32">
        <v>56207544</v>
      </c>
      <c r="D24" s="32">
        <v>51924950</v>
      </c>
      <c r="E24" s="41">
        <f>48.71%</f>
        <v>0.48710000000000003</v>
      </c>
      <c r="F24" s="31"/>
    </row>
    <row r="25" spans="1:6" ht="15" customHeight="1" x14ac:dyDescent="0.35">
      <c r="A25" s="31" t="s">
        <v>1393</v>
      </c>
      <c r="B25" s="31"/>
      <c r="C25" s="32">
        <v>51387771</v>
      </c>
      <c r="D25" s="32">
        <v>48403834</v>
      </c>
      <c r="E25" s="41">
        <f>44.53%</f>
        <v>0.44530000000000003</v>
      </c>
      <c r="F25" s="31"/>
    </row>
    <row r="26" spans="1:6" ht="15" customHeight="1" x14ac:dyDescent="0.35">
      <c r="A26" s="31" t="s">
        <v>1394</v>
      </c>
      <c r="B26" s="31"/>
      <c r="C26" s="32">
        <v>7800000</v>
      </c>
      <c r="D26" s="32">
        <v>7857730</v>
      </c>
      <c r="E26" s="41">
        <f>6.76%</f>
        <v>6.7599999999999993E-2</v>
      </c>
      <c r="F26" s="31"/>
    </row>
    <row r="28" spans="1:6" ht="18" customHeight="1" x14ac:dyDescent="0.35">
      <c r="A28" s="36" t="s">
        <v>1395</v>
      </c>
      <c r="B28" s="36"/>
      <c r="C28" s="36"/>
      <c r="D28" s="36"/>
      <c r="E28" s="36"/>
      <c r="F28" s="36"/>
    </row>
    <row r="29" spans="1:6" ht="25.5" customHeight="1" x14ac:dyDescent="0.35">
      <c r="A29" s="37" t="s">
        <v>1396</v>
      </c>
      <c r="B29" s="37"/>
      <c r="C29" s="37" t="s">
        <v>1397</v>
      </c>
      <c r="D29" s="37" t="s">
        <v>1398</v>
      </c>
      <c r="E29" s="37" t="s">
        <v>1399</v>
      </c>
      <c r="F29" s="37" t="s">
        <v>1400</v>
      </c>
    </row>
    <row r="30" spans="1:6" ht="15" customHeight="1" x14ac:dyDescent="0.35">
      <c r="A30" s="31" t="s">
        <v>1401</v>
      </c>
      <c r="B30" s="31"/>
      <c r="C30" s="32">
        <v>32046487</v>
      </c>
      <c r="D30" s="32">
        <v>13654158</v>
      </c>
      <c r="E30" s="32">
        <v>32456780</v>
      </c>
      <c r="F30" s="32">
        <v>823450</v>
      </c>
    </row>
    <row r="31" spans="1:6" ht="15" customHeight="1" x14ac:dyDescent="0.35">
      <c r="A31" s="31" t="s">
        <v>1402</v>
      </c>
      <c r="B31" s="31"/>
      <c r="C31" s="32">
        <v>0</v>
      </c>
      <c r="D31" s="32">
        <v>0</v>
      </c>
      <c r="E31" s="32">
        <v>14234560</v>
      </c>
      <c r="F31" s="32">
        <v>689450</v>
      </c>
    </row>
    <row r="32" spans="1:6" ht="15" customHeight="1" x14ac:dyDescent="0.35">
      <c r="A32" s="31" t="s">
        <v>1403</v>
      </c>
      <c r="B32" s="31"/>
      <c r="C32" s="32">
        <v>0</v>
      </c>
      <c r="D32" s="32">
        <v>0</v>
      </c>
      <c r="E32" s="32">
        <v>12345670</v>
      </c>
      <c r="F32" s="32">
        <v>467892</v>
      </c>
    </row>
    <row r="33" spans="1:6" ht="15" customHeight="1" x14ac:dyDescent="0.35">
      <c r="A33" s="31" t="s">
        <v>1404</v>
      </c>
      <c r="B33" s="31"/>
      <c r="C33" s="32">
        <v>0</v>
      </c>
      <c r="D33" s="32">
        <v>0</v>
      </c>
      <c r="E33" s="32">
        <v>8361878</v>
      </c>
      <c r="F33" s="32">
        <v>314990</v>
      </c>
    </row>
  </sheetData>
  <mergeCells count="3">
    <mergeCell ref="A3:F3"/>
    <mergeCell ref="A22:F22"/>
    <mergeCell ref="A28:F2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788F4-D49A-4F45-A211-2F44D3BF9A85}">
  <dimension ref="A1:G63"/>
  <sheetViews>
    <sheetView workbookViewId="0">
      <selection activeCell="D71" sqref="D71"/>
    </sheetView>
  </sheetViews>
  <sheetFormatPr defaultColWidth="8.6328125" defaultRowHeight="14.5" x14ac:dyDescent="0.35"/>
  <cols>
    <col min="1" max="1" width="48" style="35" customWidth="1"/>
    <col min="2" max="2" width="16" style="35" customWidth="1"/>
    <col min="3" max="3" width="14" style="35" customWidth="1"/>
    <col min="4" max="4" width="20" style="35" customWidth="1"/>
    <col min="5" max="5" width="16" style="35" customWidth="1"/>
    <col min="6" max="6" width="28" style="35" customWidth="1"/>
    <col min="7" max="7" width="18" style="35" customWidth="1"/>
    <col min="8" max="16384" width="8.6328125" style="35"/>
  </cols>
  <sheetData>
    <row r="1" spans="1:7" ht="17.25" customHeight="1" x14ac:dyDescent="0.4">
      <c r="A1" s="34" t="s">
        <v>1405</v>
      </c>
    </row>
    <row r="2" spans="1:7" ht="15" customHeight="1" x14ac:dyDescent="0.35">
      <c r="A2" s="38" t="s">
        <v>1406</v>
      </c>
    </row>
    <row r="4" spans="1:7" ht="18" customHeight="1" x14ac:dyDescent="0.35">
      <c r="A4" s="36" t="s">
        <v>1407</v>
      </c>
      <c r="B4" s="36"/>
      <c r="C4" s="36"/>
      <c r="D4" s="36"/>
      <c r="E4" s="36"/>
      <c r="F4" s="36"/>
      <c r="G4" s="36"/>
    </row>
    <row r="5" spans="1:7" ht="25.5" customHeight="1" x14ac:dyDescent="0.35">
      <c r="A5" s="37" t="s">
        <v>1164</v>
      </c>
      <c r="B5" s="37" t="s">
        <v>1408</v>
      </c>
      <c r="C5" s="37"/>
      <c r="D5" s="37"/>
      <c r="E5" s="37"/>
      <c r="F5" s="37"/>
      <c r="G5" s="37"/>
    </row>
    <row r="6" spans="1:7" ht="15" customHeight="1" x14ac:dyDescent="0.35">
      <c r="A6" s="39" t="s">
        <v>1409</v>
      </c>
      <c r="B6" s="40" t="s">
        <v>1410</v>
      </c>
      <c r="C6" s="40"/>
      <c r="D6" s="40"/>
      <c r="E6" s="40"/>
      <c r="F6" s="40"/>
      <c r="G6" s="40"/>
    </row>
    <row r="7" spans="1:7" ht="15" customHeight="1" x14ac:dyDescent="0.35">
      <c r="A7" s="39" t="s">
        <v>1411</v>
      </c>
      <c r="B7" s="40" t="s">
        <v>1412</v>
      </c>
      <c r="C7" s="40"/>
      <c r="D7" s="40"/>
      <c r="E7" s="40"/>
      <c r="F7" s="40"/>
      <c r="G7" s="40"/>
    </row>
    <row r="8" spans="1:7" ht="15" customHeight="1" x14ac:dyDescent="0.35">
      <c r="A8" s="39" t="s">
        <v>1413</v>
      </c>
      <c r="B8" s="40" t="s">
        <v>1414</v>
      </c>
      <c r="C8" s="40"/>
      <c r="D8" s="40"/>
      <c r="E8" s="40"/>
      <c r="F8" s="40"/>
      <c r="G8" s="40"/>
    </row>
    <row r="9" spans="1:7" ht="15" customHeight="1" x14ac:dyDescent="0.35">
      <c r="A9" s="39" t="s">
        <v>1415</v>
      </c>
      <c r="B9" s="40" t="s">
        <v>1416</v>
      </c>
      <c r="C9" s="40"/>
      <c r="D9" s="40"/>
      <c r="E9" s="40"/>
      <c r="F9" s="40"/>
      <c r="G9" s="40"/>
    </row>
    <row r="10" spans="1:7" ht="15" customHeight="1" x14ac:dyDescent="0.35">
      <c r="A10" s="39" t="s">
        <v>1417</v>
      </c>
      <c r="B10" s="40" t="s">
        <v>1418</v>
      </c>
      <c r="C10" s="40"/>
      <c r="D10" s="40"/>
      <c r="E10" s="40"/>
      <c r="F10" s="40"/>
      <c r="G10" s="40"/>
    </row>
    <row r="11" spans="1:7" ht="15" customHeight="1" x14ac:dyDescent="0.35">
      <c r="A11" s="39" t="s">
        <v>1419</v>
      </c>
      <c r="B11" s="40" t="s">
        <v>1420</v>
      </c>
      <c r="C11" s="40"/>
      <c r="D11" s="40"/>
      <c r="E11" s="40"/>
      <c r="F11" s="40"/>
      <c r="G11" s="40"/>
    </row>
    <row r="12" spans="1:7" ht="15" customHeight="1" x14ac:dyDescent="0.35">
      <c r="A12" s="39" t="s">
        <v>1421</v>
      </c>
      <c r="B12" s="40" t="s">
        <v>1422</v>
      </c>
      <c r="C12" s="40"/>
      <c r="D12" s="40"/>
      <c r="E12" s="40"/>
      <c r="F12" s="40"/>
      <c r="G12" s="40"/>
    </row>
    <row r="13" spans="1:7" ht="15" customHeight="1" x14ac:dyDescent="0.35">
      <c r="A13" s="39" t="s">
        <v>1423</v>
      </c>
      <c r="B13" s="40" t="s">
        <v>1424</v>
      </c>
      <c r="C13" s="40"/>
      <c r="D13" s="40"/>
      <c r="E13" s="40"/>
      <c r="F13" s="40"/>
      <c r="G13" s="40"/>
    </row>
    <row r="14" spans="1:7" ht="15" customHeight="1" x14ac:dyDescent="0.35">
      <c r="A14" s="39" t="s">
        <v>1425</v>
      </c>
      <c r="B14" s="40" t="s">
        <v>1426</v>
      </c>
      <c r="C14" s="40"/>
      <c r="D14" s="40"/>
      <c r="E14" s="40"/>
      <c r="F14" s="40"/>
      <c r="G14" s="40"/>
    </row>
    <row r="15" spans="1:7" ht="15" customHeight="1" x14ac:dyDescent="0.35">
      <c r="A15" s="39" t="s">
        <v>1427</v>
      </c>
      <c r="B15" s="40" t="s">
        <v>1428</v>
      </c>
      <c r="C15" s="40"/>
      <c r="D15" s="40"/>
      <c r="E15" s="40"/>
      <c r="F15" s="40"/>
      <c r="G15" s="40"/>
    </row>
    <row r="16" spans="1:7" ht="15" customHeight="1" x14ac:dyDescent="0.35">
      <c r="A16" s="39" t="s">
        <v>1429</v>
      </c>
      <c r="B16" s="40" t="s">
        <v>1430</v>
      </c>
      <c r="C16" s="40"/>
      <c r="D16" s="40"/>
      <c r="E16" s="40"/>
      <c r="F16" s="40"/>
      <c r="G16" s="40"/>
    </row>
    <row r="17" spans="1:7" ht="15" customHeight="1" x14ac:dyDescent="0.35">
      <c r="A17" s="39" t="s">
        <v>1431</v>
      </c>
      <c r="B17" s="40" t="s">
        <v>1432</v>
      </c>
      <c r="C17" s="40"/>
      <c r="D17" s="40"/>
      <c r="E17" s="40"/>
      <c r="F17" s="40"/>
      <c r="G17" s="40"/>
    </row>
    <row r="19" spans="1:7" ht="25.5" customHeight="1" x14ac:dyDescent="0.35">
      <c r="A19" s="37" t="s">
        <v>1189</v>
      </c>
      <c r="B19" s="37"/>
      <c r="C19" s="37" t="s">
        <v>1097</v>
      </c>
      <c r="D19" s="37" t="s">
        <v>1098</v>
      </c>
      <c r="E19" s="37"/>
      <c r="F19" s="37"/>
      <c r="G19" s="37"/>
    </row>
    <row r="20" spans="1:7" ht="15" customHeight="1" x14ac:dyDescent="0.35">
      <c r="A20" s="31" t="s">
        <v>1433</v>
      </c>
      <c r="B20" s="31"/>
      <c r="C20" s="32">
        <v>2000000</v>
      </c>
      <c r="D20" s="32">
        <v>2000000</v>
      </c>
      <c r="E20" s="31"/>
      <c r="F20" s="31"/>
      <c r="G20" s="31"/>
    </row>
    <row r="21" spans="1:7" ht="15" customHeight="1" x14ac:dyDescent="0.35">
      <c r="A21" s="31" t="s">
        <v>1434</v>
      </c>
      <c r="B21" s="31"/>
      <c r="C21" s="32">
        <v>-1571</v>
      </c>
      <c r="D21" s="32">
        <v>-3142</v>
      </c>
      <c r="E21" s="31"/>
      <c r="F21" s="31"/>
      <c r="G21" s="31"/>
    </row>
    <row r="22" spans="1:7" ht="15" customHeight="1" x14ac:dyDescent="0.35">
      <c r="A22" s="31" t="s">
        <v>1435</v>
      </c>
      <c r="B22" s="31"/>
      <c r="C22" s="32">
        <v>1571</v>
      </c>
      <c r="D22" s="32">
        <v>1571</v>
      </c>
      <c r="E22" s="31"/>
      <c r="F22" s="31"/>
      <c r="G22" s="31"/>
    </row>
    <row r="23" spans="1:7" ht="15" customHeight="1" x14ac:dyDescent="0.35">
      <c r="A23" s="31" t="s">
        <v>1436</v>
      </c>
      <c r="B23" s="31"/>
      <c r="C23" s="32">
        <v>-2082</v>
      </c>
      <c r="D23" s="32">
        <v>-3653</v>
      </c>
      <c r="E23" s="31"/>
      <c r="F23" s="31"/>
      <c r="G23" s="31"/>
    </row>
    <row r="24" spans="1:7" ht="15" customHeight="1" x14ac:dyDescent="0.35">
      <c r="A24" s="31" t="s">
        <v>1437</v>
      </c>
      <c r="B24" s="31"/>
      <c r="C24" s="32">
        <v>9571</v>
      </c>
      <c r="D24" s="32">
        <v>9571</v>
      </c>
      <c r="E24" s="31"/>
      <c r="F24" s="31"/>
      <c r="G24" s="31"/>
    </row>
    <row r="26" spans="1:7" ht="18" customHeight="1" x14ac:dyDescent="0.35">
      <c r="A26" s="36" t="s">
        <v>1438</v>
      </c>
      <c r="B26" s="36"/>
      <c r="C26" s="36"/>
      <c r="D26" s="36"/>
      <c r="E26" s="36"/>
      <c r="F26" s="36"/>
      <c r="G26" s="36"/>
    </row>
    <row r="27" spans="1:7" ht="25.5" customHeight="1" x14ac:dyDescent="0.35">
      <c r="A27" s="37" t="s">
        <v>1439</v>
      </c>
      <c r="B27" s="37"/>
      <c r="C27" s="37" t="s">
        <v>1097</v>
      </c>
      <c r="D27" s="37" t="s">
        <v>1098</v>
      </c>
      <c r="E27" s="37"/>
      <c r="F27" s="37"/>
      <c r="G27" s="37"/>
    </row>
    <row r="28" spans="1:7" ht="15" customHeight="1" x14ac:dyDescent="0.35">
      <c r="A28" s="31" t="s">
        <v>1440</v>
      </c>
      <c r="B28" s="31"/>
      <c r="C28" s="32">
        <v>2000000000</v>
      </c>
      <c r="D28" s="32">
        <v>2000000000</v>
      </c>
      <c r="E28" s="31"/>
      <c r="F28" s="31"/>
      <c r="G28" s="31"/>
    </row>
    <row r="29" spans="1:7" ht="15" customHeight="1" x14ac:dyDescent="0.35">
      <c r="A29" s="31" t="s">
        <v>1441</v>
      </c>
      <c r="B29" s="31"/>
      <c r="C29" s="32">
        <v>1025000000</v>
      </c>
      <c r="D29" s="32">
        <v>1025000000</v>
      </c>
      <c r="E29" s="31"/>
      <c r="F29" s="31"/>
      <c r="G29" s="31"/>
    </row>
    <row r="30" spans="1:7" ht="15" customHeight="1" x14ac:dyDescent="0.35">
      <c r="A30" s="31" t="s">
        <v>1442</v>
      </c>
      <c r="B30" s="31"/>
      <c r="C30" s="32">
        <v>256250000</v>
      </c>
      <c r="D30" s="32">
        <v>0</v>
      </c>
      <c r="E30" s="31"/>
      <c r="F30" s="31"/>
      <c r="G30" s="31"/>
    </row>
    <row r="31" spans="1:7" ht="15" customHeight="1" x14ac:dyDescent="0.35">
      <c r="A31" s="31" t="s">
        <v>1443</v>
      </c>
      <c r="B31" s="31"/>
      <c r="C31" s="32">
        <v>1281250000</v>
      </c>
      <c r="D31" s="32">
        <v>1025000000</v>
      </c>
      <c r="E31" s="31"/>
      <c r="F31" s="31"/>
      <c r="G31" s="31"/>
    </row>
    <row r="32" spans="1:7" ht="15" customHeight="1" x14ac:dyDescent="0.35">
      <c r="A32" s="31" t="s">
        <v>1444</v>
      </c>
      <c r="B32" s="31"/>
      <c r="C32" s="32">
        <v>10</v>
      </c>
      <c r="D32" s="32">
        <v>10</v>
      </c>
      <c r="E32" s="31"/>
      <c r="F32" s="31"/>
      <c r="G32" s="31"/>
    </row>
    <row r="33" spans="1:7" ht="15" customHeight="1" x14ac:dyDescent="0.35">
      <c r="A33" s="31" t="s">
        <v>1445</v>
      </c>
      <c r="B33" s="31"/>
      <c r="C33" s="32">
        <v>12812500</v>
      </c>
      <c r="D33" s="32">
        <v>10250000</v>
      </c>
      <c r="E33" s="31"/>
      <c r="F33" s="31"/>
      <c r="G33" s="31"/>
    </row>
    <row r="34" spans="1:7" ht="15" customHeight="1" x14ac:dyDescent="0.35">
      <c r="A34" s="31" t="s">
        <v>1446</v>
      </c>
      <c r="B34" s="31"/>
      <c r="C34" s="32">
        <v>0</v>
      </c>
      <c r="D34" s="32">
        <v>0</v>
      </c>
      <c r="E34" s="31"/>
      <c r="F34" s="31"/>
      <c r="G34" s="31"/>
    </row>
    <row r="35" spans="1:7" ht="15" customHeight="1" x14ac:dyDescent="0.35">
      <c r="A35" s="31" t="s">
        <v>1447</v>
      </c>
      <c r="B35" s="31"/>
      <c r="C35" s="32">
        <v>5528846</v>
      </c>
      <c r="D35" s="32">
        <v>0</v>
      </c>
      <c r="E35" s="31"/>
      <c r="F35" s="31"/>
      <c r="G35" s="31"/>
    </row>
    <row r="36" spans="1:7" ht="15" customHeight="1" x14ac:dyDescent="0.35">
      <c r="A36" s="31" t="s">
        <v>1448</v>
      </c>
      <c r="B36" s="31"/>
      <c r="C36" s="32">
        <v>5528846</v>
      </c>
      <c r="D36" s="32">
        <v>0</v>
      </c>
      <c r="E36" s="31"/>
      <c r="F36" s="31"/>
      <c r="G36" s="31"/>
    </row>
    <row r="37" spans="1:7" ht="15" customHeight="1" x14ac:dyDescent="0.35">
      <c r="A37" s="31" t="s">
        <v>1449</v>
      </c>
      <c r="B37" s="31"/>
      <c r="C37" s="32">
        <v>-64000</v>
      </c>
      <c r="D37" s="32">
        <v>0</v>
      </c>
      <c r="E37" s="31"/>
      <c r="F37" s="31"/>
      <c r="G37" s="31"/>
    </row>
    <row r="39" spans="1:7" ht="18" customHeight="1" x14ac:dyDescent="0.35">
      <c r="A39" s="36" t="s">
        <v>1450</v>
      </c>
      <c r="B39" s="36"/>
      <c r="C39" s="36"/>
      <c r="D39" s="36"/>
      <c r="E39" s="36"/>
      <c r="F39" s="36"/>
      <c r="G39" s="36"/>
    </row>
    <row r="40" spans="1:7" ht="25.5" customHeight="1" x14ac:dyDescent="0.35">
      <c r="A40" s="37" t="s">
        <v>1006</v>
      </c>
      <c r="B40" s="37"/>
      <c r="C40" s="37" t="s">
        <v>390</v>
      </c>
      <c r="D40" s="37" t="s">
        <v>381</v>
      </c>
      <c r="E40" s="37"/>
      <c r="F40" s="37"/>
      <c r="G40" s="37"/>
    </row>
    <row r="41" spans="1:7" ht="15" customHeight="1" x14ac:dyDescent="0.35">
      <c r="A41" s="31" t="s">
        <v>1451</v>
      </c>
      <c r="B41" s="31"/>
      <c r="C41" s="32">
        <v>102500</v>
      </c>
      <c r="D41" s="32">
        <v>0</v>
      </c>
      <c r="E41" s="31"/>
      <c r="F41" s="31"/>
      <c r="G41" s="31"/>
    </row>
    <row r="42" spans="1:7" ht="15" customHeight="1" x14ac:dyDescent="0.35">
      <c r="A42" s="31" t="s">
        <v>1452</v>
      </c>
      <c r="B42" s="31"/>
      <c r="C42" s="32">
        <v>0</v>
      </c>
      <c r="D42" s="32">
        <v>102500</v>
      </c>
      <c r="E42" s="31"/>
      <c r="F42" s="31"/>
      <c r="G42" s="31"/>
    </row>
    <row r="43" spans="1:7" ht="15" customHeight="1" x14ac:dyDescent="0.35">
      <c r="A43" s="31" t="s">
        <v>1453</v>
      </c>
      <c r="B43" s="31"/>
      <c r="C43" s="32">
        <v>0.1</v>
      </c>
      <c r="D43" s="32">
        <v>0.1</v>
      </c>
      <c r="E43" s="31"/>
      <c r="F43" s="31"/>
      <c r="G43" s="31"/>
    </row>
    <row r="44" spans="1:7" ht="15" customHeight="1" x14ac:dyDescent="0.35">
      <c r="A44" s="31" t="s">
        <v>1454</v>
      </c>
      <c r="B44" s="31"/>
      <c r="C44" s="32">
        <v>0.08</v>
      </c>
      <c r="D44" s="32">
        <v>0.08</v>
      </c>
      <c r="E44" s="31"/>
      <c r="F44" s="31"/>
      <c r="G44" s="31"/>
    </row>
    <row r="45" spans="1:7" ht="15" customHeight="1" x14ac:dyDescent="0.35">
      <c r="A45" s="31" t="s">
        <v>1455</v>
      </c>
      <c r="B45" s="31"/>
      <c r="C45" s="32">
        <v>6549</v>
      </c>
      <c r="D45" s="32">
        <v>57</v>
      </c>
      <c r="E45" s="31"/>
      <c r="F45" s="31"/>
      <c r="G45" s="31"/>
    </row>
    <row r="46" spans="1:7" ht="15" customHeight="1" x14ac:dyDescent="0.35">
      <c r="A46" s="31" t="s">
        <v>1456</v>
      </c>
      <c r="B46" s="31"/>
      <c r="C46" s="32">
        <v>48282</v>
      </c>
      <c r="D46" s="32">
        <v>62934</v>
      </c>
      <c r="E46" s="31"/>
      <c r="F46" s="31"/>
      <c r="G46" s="31"/>
    </row>
    <row r="48" spans="1:7" ht="18" customHeight="1" x14ac:dyDescent="0.35">
      <c r="A48" s="36" t="s">
        <v>1457</v>
      </c>
      <c r="B48" s="36"/>
      <c r="C48" s="36"/>
      <c r="D48" s="36"/>
      <c r="E48" s="36"/>
      <c r="F48" s="36"/>
      <c r="G48" s="36"/>
    </row>
    <row r="49" spans="1:7" ht="25.5" customHeight="1" x14ac:dyDescent="0.35">
      <c r="A49" s="37" t="s">
        <v>1458</v>
      </c>
      <c r="B49" s="37" t="s">
        <v>1459</v>
      </c>
      <c r="C49" s="37" t="s">
        <v>1460</v>
      </c>
      <c r="D49" s="37" t="s">
        <v>1461</v>
      </c>
      <c r="E49" s="37" t="s">
        <v>1462</v>
      </c>
      <c r="F49" s="37" t="s">
        <v>1463</v>
      </c>
      <c r="G49" s="37" t="s">
        <v>1464</v>
      </c>
    </row>
    <row r="50" spans="1:7" ht="15" customHeight="1" x14ac:dyDescent="0.35">
      <c r="A50" s="31" t="s">
        <v>105</v>
      </c>
      <c r="B50" s="32">
        <v>38319</v>
      </c>
      <c r="C50" s="32">
        <v>-78670</v>
      </c>
      <c r="D50" s="32">
        <f t="shared" ref="D50:D54" si="0">B51+C51</f>
        <v>-869884</v>
      </c>
      <c r="E50" s="32">
        <v>21141</v>
      </c>
      <c r="F50" s="32">
        <v>17178</v>
      </c>
      <c r="G50" s="32">
        <v>38319</v>
      </c>
    </row>
    <row r="51" spans="1:7" ht="15" customHeight="1" x14ac:dyDescent="0.35">
      <c r="A51" s="31" t="s">
        <v>107</v>
      </c>
      <c r="B51" s="32">
        <v>-1187941</v>
      </c>
      <c r="C51" s="32">
        <v>318057</v>
      </c>
      <c r="D51" s="32">
        <f t="shared" si="0"/>
        <v>276644</v>
      </c>
      <c r="E51" s="32">
        <v>-859574</v>
      </c>
      <c r="F51" s="32">
        <v>-328367</v>
      </c>
      <c r="G51" s="32">
        <v>-1187941</v>
      </c>
    </row>
    <row r="52" spans="1:7" ht="15" customHeight="1" x14ac:dyDescent="0.35">
      <c r="A52" s="31" t="s">
        <v>108</v>
      </c>
      <c r="B52" s="32">
        <v>226281</v>
      </c>
      <c r="C52" s="32">
        <v>50363</v>
      </c>
      <c r="D52" s="32">
        <f t="shared" si="0"/>
        <v>23651</v>
      </c>
      <c r="E52" s="32">
        <v>137309</v>
      </c>
      <c r="F52" s="32">
        <v>88972</v>
      </c>
      <c r="G52" s="32">
        <v>226281</v>
      </c>
    </row>
    <row r="53" spans="1:7" ht="15" customHeight="1" x14ac:dyDescent="0.35">
      <c r="A53" s="31" t="s">
        <v>109</v>
      </c>
      <c r="B53" s="32">
        <v>31691</v>
      </c>
      <c r="C53" s="32">
        <v>-8040</v>
      </c>
      <c r="D53" s="32">
        <f t="shared" si="0"/>
        <v>13685</v>
      </c>
      <c r="E53" s="32">
        <v>49376</v>
      </c>
      <c r="F53" s="32">
        <v>-17685</v>
      </c>
      <c r="G53" s="32">
        <v>31691</v>
      </c>
    </row>
    <row r="54" spans="1:7" ht="15" customHeight="1" x14ac:dyDescent="0.35">
      <c r="A54" s="31" t="s">
        <v>110</v>
      </c>
      <c r="B54" s="32">
        <v>0</v>
      </c>
      <c r="C54" s="32">
        <v>13685</v>
      </c>
      <c r="D54" s="32">
        <f t="shared" si="0"/>
        <v>17492</v>
      </c>
      <c r="E54" s="32">
        <v>0</v>
      </c>
      <c r="F54" s="32">
        <v>0</v>
      </c>
      <c r="G54" s="32">
        <v>0</v>
      </c>
    </row>
    <row r="55" spans="1:7" ht="15" customHeight="1" x14ac:dyDescent="0.35">
      <c r="A55" s="31" t="s">
        <v>1465</v>
      </c>
      <c r="B55" s="32">
        <v>10817</v>
      </c>
      <c r="C55" s="32">
        <v>6675</v>
      </c>
      <c r="D55" s="32"/>
      <c r="E55" s="32">
        <v>9833</v>
      </c>
      <c r="F55" s="32">
        <v>984</v>
      </c>
      <c r="G55" s="32">
        <v>10817</v>
      </c>
    </row>
    <row r="57" spans="1:7" ht="18" customHeight="1" x14ac:dyDescent="0.35">
      <c r="A57" s="36" t="s">
        <v>1466</v>
      </c>
      <c r="B57" s="36"/>
      <c r="C57" s="36"/>
      <c r="D57" s="36"/>
      <c r="E57" s="36"/>
      <c r="F57" s="36"/>
      <c r="G57" s="36"/>
    </row>
    <row r="58" spans="1:7" ht="25.5" customHeight="1" x14ac:dyDescent="0.35">
      <c r="A58" s="37" t="s">
        <v>1467</v>
      </c>
      <c r="B58" s="37" t="s">
        <v>1468</v>
      </c>
      <c r="C58" s="37" t="s">
        <v>1469</v>
      </c>
      <c r="D58" s="37" t="s">
        <v>624</v>
      </c>
      <c r="E58" s="37" t="s">
        <v>1470</v>
      </c>
      <c r="F58" s="37" t="s">
        <v>1471</v>
      </c>
      <c r="G58" s="37" t="s">
        <v>1411</v>
      </c>
    </row>
    <row r="59" spans="1:7" ht="15" customHeight="1" x14ac:dyDescent="0.35">
      <c r="A59" s="31" t="s">
        <v>1472</v>
      </c>
      <c r="B59" s="32">
        <v>0</v>
      </c>
      <c r="C59" s="31" t="s">
        <v>1473</v>
      </c>
      <c r="D59" s="31" t="s">
        <v>1474</v>
      </c>
      <c r="E59" s="31" t="s">
        <v>1475</v>
      </c>
      <c r="F59" s="31" t="s">
        <v>1476</v>
      </c>
      <c r="G59" s="31" t="s">
        <v>1477</v>
      </c>
    </row>
    <row r="60" spans="1:7" ht="15" customHeight="1" x14ac:dyDescent="0.35">
      <c r="A60" s="31" t="s">
        <v>1478</v>
      </c>
      <c r="B60" s="32">
        <v>1875000</v>
      </c>
      <c r="C60" s="31" t="s">
        <v>1479</v>
      </c>
      <c r="D60" s="31" t="s">
        <v>1480</v>
      </c>
      <c r="E60" s="31" t="s">
        <v>1481</v>
      </c>
      <c r="F60" s="31" t="s">
        <v>1476</v>
      </c>
      <c r="G60" s="31" t="s">
        <v>1482</v>
      </c>
    </row>
    <row r="61" spans="1:7" ht="15" customHeight="1" x14ac:dyDescent="0.35">
      <c r="A61" s="31" t="s">
        <v>1483</v>
      </c>
      <c r="B61" s="32">
        <v>1000000</v>
      </c>
      <c r="C61" s="31" t="s">
        <v>1484</v>
      </c>
      <c r="D61" s="31" t="s">
        <v>1485</v>
      </c>
      <c r="E61" s="31" t="s">
        <v>1486</v>
      </c>
      <c r="F61" s="31" t="s">
        <v>1476</v>
      </c>
      <c r="G61" s="31" t="s">
        <v>1487</v>
      </c>
    </row>
    <row r="62" spans="1:7" ht="15" customHeight="1" x14ac:dyDescent="0.35">
      <c r="A62" s="31" t="s">
        <v>1488</v>
      </c>
      <c r="B62" s="32">
        <v>1875000</v>
      </c>
      <c r="C62" s="31" t="s">
        <v>1489</v>
      </c>
      <c r="D62" s="31" t="s">
        <v>1490</v>
      </c>
      <c r="E62" s="31" t="s">
        <v>1491</v>
      </c>
      <c r="F62" s="31" t="s">
        <v>1476</v>
      </c>
      <c r="G62" s="31" t="s">
        <v>1492</v>
      </c>
    </row>
    <row r="63" spans="1:7" ht="15" customHeight="1" x14ac:dyDescent="0.35">
      <c r="A63" s="31" t="s">
        <v>1493</v>
      </c>
      <c r="B63" s="32">
        <v>2000000</v>
      </c>
      <c r="C63" s="31" t="s">
        <v>1494</v>
      </c>
      <c r="D63" s="31" t="s">
        <v>1495</v>
      </c>
      <c r="E63" s="31" t="s">
        <v>1496</v>
      </c>
      <c r="F63" s="31" t="s">
        <v>1476</v>
      </c>
      <c r="G63" s="31" t="s">
        <v>1497</v>
      </c>
    </row>
  </sheetData>
  <mergeCells count="17">
    <mergeCell ref="B17:G17"/>
    <mergeCell ref="A26:G26"/>
    <mergeCell ref="A39:G39"/>
    <mergeCell ref="A48:G48"/>
    <mergeCell ref="A57:G57"/>
    <mergeCell ref="B11:G11"/>
    <mergeCell ref="B12:G12"/>
    <mergeCell ref="B13:G13"/>
    <mergeCell ref="B14:G14"/>
    <mergeCell ref="B15:G15"/>
    <mergeCell ref="B16:G16"/>
    <mergeCell ref="A4:G4"/>
    <mergeCell ref="B6:G6"/>
    <mergeCell ref="B7:G7"/>
    <mergeCell ref="B8:G8"/>
    <mergeCell ref="B9:G9"/>
    <mergeCell ref="B10:G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FC8CD-037E-4C06-95D0-653B1C60B0AE}">
  <dimension ref="A1:F60"/>
  <sheetViews>
    <sheetView workbookViewId="0">
      <selection activeCell="D71" sqref="D71"/>
    </sheetView>
  </sheetViews>
  <sheetFormatPr defaultColWidth="8.6328125" defaultRowHeight="14.5" x14ac:dyDescent="0.35"/>
  <cols>
    <col min="1" max="1" width="48" style="35" customWidth="1"/>
    <col min="2" max="5" width="16" style="35" customWidth="1"/>
    <col min="6" max="6" width="30" style="35" customWidth="1"/>
    <col min="7" max="16384" width="8.6328125" style="35"/>
  </cols>
  <sheetData>
    <row r="1" spans="1:6" ht="17.25" customHeight="1" x14ac:dyDescent="0.4">
      <c r="A1" s="34" t="s">
        <v>1498</v>
      </c>
    </row>
    <row r="2" spans="1:6" ht="15" customHeight="1" x14ac:dyDescent="0.35">
      <c r="A2" s="38" t="s">
        <v>1499</v>
      </c>
    </row>
    <row r="4" spans="1:6" ht="18" customHeight="1" x14ac:dyDescent="0.35">
      <c r="A4" s="36" t="s">
        <v>1500</v>
      </c>
      <c r="B4" s="36"/>
      <c r="C4" s="36"/>
      <c r="D4" s="36"/>
      <c r="E4" s="36"/>
      <c r="F4" s="36"/>
    </row>
    <row r="5" spans="1:6" ht="25.5" customHeight="1" x14ac:dyDescent="0.35">
      <c r="A5" s="37" t="s">
        <v>1501</v>
      </c>
      <c r="B5" s="37" t="s">
        <v>1103</v>
      </c>
      <c r="C5" s="37" t="s">
        <v>997</v>
      </c>
      <c r="D5" s="37" t="s">
        <v>998</v>
      </c>
      <c r="E5" s="37" t="s">
        <v>1502</v>
      </c>
      <c r="F5" s="37" t="s">
        <v>1503</v>
      </c>
    </row>
    <row r="6" spans="1:6" ht="15" customHeight="1" x14ac:dyDescent="0.35">
      <c r="A6" s="31" t="s">
        <v>1504</v>
      </c>
      <c r="B6" s="31" t="s">
        <v>1505</v>
      </c>
      <c r="C6" s="32">
        <v>234560</v>
      </c>
      <c r="D6" s="32">
        <v>185420</v>
      </c>
      <c r="E6" s="31" t="s">
        <v>1506</v>
      </c>
      <c r="F6" s="31" t="s">
        <v>1507</v>
      </c>
    </row>
    <row r="7" spans="1:6" ht="15" customHeight="1" x14ac:dyDescent="0.35">
      <c r="A7" s="31" t="s">
        <v>1508</v>
      </c>
      <c r="B7" s="31" t="s">
        <v>1509</v>
      </c>
      <c r="C7" s="32">
        <v>145890</v>
      </c>
      <c r="D7" s="32">
        <v>112340</v>
      </c>
      <c r="E7" s="31" t="s">
        <v>1510</v>
      </c>
      <c r="F7" s="31" t="s">
        <v>1511</v>
      </c>
    </row>
    <row r="8" spans="1:6" ht="15" customHeight="1" x14ac:dyDescent="0.35">
      <c r="A8" s="31" t="s">
        <v>1512</v>
      </c>
      <c r="B8" s="31" t="s">
        <v>1513</v>
      </c>
      <c r="C8" s="32">
        <v>98450</v>
      </c>
      <c r="D8" s="32">
        <v>84320</v>
      </c>
      <c r="E8" s="31" t="s">
        <v>1514</v>
      </c>
      <c r="F8" s="31" t="s">
        <v>1072</v>
      </c>
    </row>
    <row r="9" spans="1:6" ht="15" customHeight="1" x14ac:dyDescent="0.35">
      <c r="A9" s="31" t="s">
        <v>1515</v>
      </c>
      <c r="B9" s="31" t="s">
        <v>1516</v>
      </c>
      <c r="C9" s="32">
        <v>67230</v>
      </c>
      <c r="D9" s="32">
        <v>58410</v>
      </c>
      <c r="E9" s="31" t="s">
        <v>1517</v>
      </c>
      <c r="F9" s="31" t="s">
        <v>1507</v>
      </c>
    </row>
    <row r="10" spans="1:6" ht="15" customHeight="1" x14ac:dyDescent="0.35">
      <c r="A10" s="31" t="s">
        <v>1518</v>
      </c>
      <c r="B10" s="31" t="s">
        <v>1519</v>
      </c>
      <c r="C10" s="32">
        <v>54320</v>
      </c>
      <c r="D10" s="32">
        <v>43280</v>
      </c>
      <c r="E10" s="31" t="s">
        <v>1520</v>
      </c>
      <c r="F10" s="31" t="s">
        <v>1507</v>
      </c>
    </row>
    <row r="11" spans="1:6" ht="15" customHeight="1" x14ac:dyDescent="0.35">
      <c r="A11" s="31" t="s">
        <v>1521</v>
      </c>
      <c r="B11" s="31" t="s">
        <v>1522</v>
      </c>
      <c r="C11" s="32">
        <v>42180</v>
      </c>
      <c r="D11" s="32">
        <v>35640</v>
      </c>
      <c r="E11" s="31" t="s">
        <v>1523</v>
      </c>
      <c r="F11" s="31" t="s">
        <v>1507</v>
      </c>
    </row>
    <row r="12" spans="1:6" ht="15" customHeight="1" x14ac:dyDescent="0.35">
      <c r="A12" s="31" t="s">
        <v>1524</v>
      </c>
      <c r="B12" s="31" t="s">
        <v>1525</v>
      </c>
      <c r="C12" s="32">
        <v>38920</v>
      </c>
      <c r="D12" s="32">
        <v>28410</v>
      </c>
      <c r="E12" s="31" t="s">
        <v>1526</v>
      </c>
      <c r="F12" s="31" t="s">
        <v>1507</v>
      </c>
    </row>
    <row r="13" spans="1:6" ht="15" customHeight="1" x14ac:dyDescent="0.35">
      <c r="A13" s="31" t="s">
        <v>1527</v>
      </c>
      <c r="B13" s="31" t="s">
        <v>1528</v>
      </c>
      <c r="C13" s="32">
        <v>34560</v>
      </c>
      <c r="D13" s="32">
        <v>27890</v>
      </c>
      <c r="E13" s="31" t="s">
        <v>1529</v>
      </c>
      <c r="F13" s="31" t="s">
        <v>1507</v>
      </c>
    </row>
    <row r="14" spans="1:6" ht="15" customHeight="1" x14ac:dyDescent="0.35">
      <c r="A14" s="31" t="s">
        <v>1530</v>
      </c>
      <c r="B14" s="31" t="s">
        <v>1531</v>
      </c>
      <c r="C14" s="32">
        <v>28340</v>
      </c>
      <c r="D14" s="32">
        <v>24180</v>
      </c>
      <c r="E14" s="31" t="s">
        <v>1532</v>
      </c>
      <c r="F14" s="31" t="s">
        <v>1507</v>
      </c>
    </row>
    <row r="15" spans="1:6" ht="15" customHeight="1" x14ac:dyDescent="0.35">
      <c r="A15" s="31" t="s">
        <v>1533</v>
      </c>
      <c r="B15" s="31" t="s">
        <v>1534</v>
      </c>
      <c r="C15" s="32">
        <v>21480</v>
      </c>
      <c r="D15" s="32">
        <v>18720</v>
      </c>
      <c r="E15" s="31" t="s">
        <v>1535</v>
      </c>
      <c r="F15" s="31" t="s">
        <v>1507</v>
      </c>
    </row>
    <row r="16" spans="1:6" ht="15" customHeight="1" x14ac:dyDescent="0.35">
      <c r="A16" s="31" t="s">
        <v>1536</v>
      </c>
      <c r="B16" s="31" t="s">
        <v>1537</v>
      </c>
      <c r="C16" s="32">
        <v>14230</v>
      </c>
      <c r="D16" s="32">
        <v>12340</v>
      </c>
      <c r="E16" s="31" t="s">
        <v>1538</v>
      </c>
      <c r="F16" s="31" t="s">
        <v>1507</v>
      </c>
    </row>
    <row r="17" spans="1:6" ht="15" customHeight="1" x14ac:dyDescent="0.35">
      <c r="A17" s="31" t="s">
        <v>1539</v>
      </c>
      <c r="B17" s="31" t="s">
        <v>1540</v>
      </c>
      <c r="C17" s="32">
        <v>102730</v>
      </c>
      <c r="D17" s="32">
        <v>48032</v>
      </c>
      <c r="E17" s="31" t="s">
        <v>251</v>
      </c>
      <c r="F17" s="31" t="s">
        <v>1507</v>
      </c>
    </row>
    <row r="18" spans="1:6" ht="15" customHeight="1" x14ac:dyDescent="0.35">
      <c r="A18" s="42" t="s">
        <v>1541</v>
      </c>
      <c r="B18" s="42"/>
      <c r="C18" s="43">
        <f>SUM(C6:C17)</f>
        <v>882890</v>
      </c>
      <c r="D18" s="43">
        <f>SUM(D6:D17)</f>
        <v>678982</v>
      </c>
      <c r="E18" s="42"/>
      <c r="F18" s="42"/>
    </row>
    <row r="19" spans="1:6" ht="15" customHeight="1" x14ac:dyDescent="0.35">
      <c r="A19" s="44" t="s">
        <v>1542</v>
      </c>
      <c r="B19" s="44"/>
      <c r="C19" s="45">
        <v>882890</v>
      </c>
      <c r="D19" s="45">
        <v>678982</v>
      </c>
      <c r="E19" s="44"/>
      <c r="F19" s="44"/>
    </row>
    <row r="21" spans="1:6" ht="18" customHeight="1" x14ac:dyDescent="0.35">
      <c r="A21" s="36" t="s">
        <v>1543</v>
      </c>
      <c r="B21" s="36"/>
      <c r="C21" s="36"/>
      <c r="D21" s="36"/>
      <c r="E21" s="36"/>
      <c r="F21" s="36"/>
    </row>
    <row r="22" spans="1:6" ht="25.5" customHeight="1" x14ac:dyDescent="0.35">
      <c r="A22" s="37" t="s">
        <v>1544</v>
      </c>
      <c r="B22" s="37"/>
      <c r="C22" s="37" t="s">
        <v>997</v>
      </c>
      <c r="D22" s="37" t="s">
        <v>998</v>
      </c>
      <c r="E22" s="37"/>
      <c r="F22" s="37"/>
    </row>
    <row r="23" spans="1:6" ht="15" customHeight="1" x14ac:dyDescent="0.35">
      <c r="A23" s="31" t="s">
        <v>1545</v>
      </c>
      <c r="B23" s="31"/>
      <c r="C23" s="32">
        <v>262840</v>
      </c>
      <c r="D23" s="32">
        <v>238920</v>
      </c>
      <c r="E23" s="31"/>
      <c r="F23" s="31"/>
    </row>
    <row r="24" spans="1:6" ht="15" customHeight="1" x14ac:dyDescent="0.35">
      <c r="A24" s="31" t="s">
        <v>1546</v>
      </c>
      <c r="B24" s="31"/>
      <c r="C24" s="32">
        <v>42380</v>
      </c>
      <c r="D24" s="32">
        <v>38450</v>
      </c>
      <c r="E24" s="31"/>
      <c r="F24" s="31"/>
    </row>
    <row r="25" spans="1:6" ht="15" customHeight="1" x14ac:dyDescent="0.35">
      <c r="A25" s="31" t="s">
        <v>1547</v>
      </c>
      <c r="B25" s="31"/>
      <c r="C25" s="32">
        <v>28410</v>
      </c>
      <c r="D25" s="32">
        <v>25210</v>
      </c>
      <c r="E25" s="31"/>
      <c r="F25" s="31"/>
    </row>
    <row r="26" spans="1:6" ht="15" customHeight="1" x14ac:dyDescent="0.35">
      <c r="A26" s="31" t="s">
        <v>1548</v>
      </c>
      <c r="B26" s="31"/>
      <c r="C26" s="32">
        <v>6806</v>
      </c>
      <c r="D26" s="32">
        <v>6853</v>
      </c>
      <c r="E26" s="31"/>
      <c r="F26" s="31"/>
    </row>
    <row r="27" spans="1:6" ht="15" customHeight="1" x14ac:dyDescent="0.35">
      <c r="A27" s="42" t="s">
        <v>1549</v>
      </c>
      <c r="B27" s="42"/>
      <c r="C27" s="43">
        <f>SUM(C23:C26)</f>
        <v>340436</v>
      </c>
      <c r="D27" s="43">
        <f>SUM(D23:D26)</f>
        <v>309433</v>
      </c>
      <c r="E27" s="42"/>
      <c r="F27" s="42"/>
    </row>
    <row r="28" spans="1:6" ht="15" customHeight="1" x14ac:dyDescent="0.35">
      <c r="A28" s="44" t="s">
        <v>1550</v>
      </c>
      <c r="B28" s="44"/>
      <c r="C28" s="45">
        <v>340436</v>
      </c>
      <c r="D28" s="45">
        <v>309433</v>
      </c>
      <c r="E28" s="44"/>
      <c r="F28" s="44"/>
    </row>
    <row r="30" spans="1:6" ht="18" customHeight="1" x14ac:dyDescent="0.35">
      <c r="A30" s="36" t="s">
        <v>1551</v>
      </c>
      <c r="B30" s="36"/>
      <c r="C30" s="36"/>
      <c r="D30" s="36"/>
      <c r="E30" s="36"/>
      <c r="F30" s="36"/>
    </row>
    <row r="31" spans="1:6" ht="25.5" customHeight="1" x14ac:dyDescent="0.35">
      <c r="A31" s="37" t="s">
        <v>1006</v>
      </c>
      <c r="B31" s="37"/>
      <c r="C31" s="37" t="s">
        <v>997</v>
      </c>
      <c r="D31" s="37" t="s">
        <v>998</v>
      </c>
      <c r="E31" s="37"/>
      <c r="F31" s="37" t="s">
        <v>1552</v>
      </c>
    </row>
    <row r="32" spans="1:6" ht="15" customHeight="1" x14ac:dyDescent="0.35">
      <c r="A32" s="31" t="s">
        <v>1553</v>
      </c>
      <c r="B32" s="31"/>
      <c r="C32" s="32">
        <v>76320</v>
      </c>
      <c r="D32" s="32">
        <v>68450</v>
      </c>
      <c r="E32" s="31"/>
      <c r="F32" s="31" t="s">
        <v>1554</v>
      </c>
    </row>
    <row r="33" spans="1:6" ht="15" customHeight="1" x14ac:dyDescent="0.35">
      <c r="A33" s="31" t="s">
        <v>1555</v>
      </c>
      <c r="B33" s="31"/>
      <c r="C33" s="32">
        <v>98730</v>
      </c>
      <c r="D33" s="32">
        <v>84210</v>
      </c>
      <c r="E33" s="31"/>
      <c r="F33" s="31" t="s">
        <v>1556</v>
      </c>
    </row>
    <row r="34" spans="1:6" ht="15" customHeight="1" x14ac:dyDescent="0.35">
      <c r="A34" s="31" t="s">
        <v>1557</v>
      </c>
      <c r="B34" s="31"/>
      <c r="C34" s="32">
        <v>28487</v>
      </c>
      <c r="D34" s="32">
        <v>25161</v>
      </c>
      <c r="E34" s="31"/>
      <c r="F34" s="31" t="s">
        <v>1558</v>
      </c>
    </row>
    <row r="35" spans="1:6" ht="15" customHeight="1" x14ac:dyDescent="0.35">
      <c r="A35" s="42" t="s">
        <v>1559</v>
      </c>
      <c r="B35" s="42"/>
      <c r="C35" s="43">
        <f>SUM(C32:C34)</f>
        <v>203537</v>
      </c>
      <c r="D35" s="43">
        <f>SUM(D32:D34)</f>
        <v>177821</v>
      </c>
      <c r="E35" s="42"/>
      <c r="F35" s="42"/>
    </row>
    <row r="36" spans="1:6" ht="15" customHeight="1" x14ac:dyDescent="0.35">
      <c r="A36" s="44" t="s">
        <v>1560</v>
      </c>
      <c r="B36" s="44"/>
      <c r="C36" s="45">
        <v>203537</v>
      </c>
      <c r="D36" s="45">
        <v>177821</v>
      </c>
      <c r="E36" s="44"/>
      <c r="F36" s="44"/>
    </row>
    <row r="38" spans="1:6" ht="18" customHeight="1" x14ac:dyDescent="0.35">
      <c r="A38" s="36" t="s">
        <v>1561</v>
      </c>
      <c r="B38" s="36"/>
      <c r="C38" s="36"/>
      <c r="D38" s="36"/>
      <c r="E38" s="36"/>
      <c r="F38" s="36"/>
    </row>
    <row r="39" spans="1:6" ht="25.5" customHeight="1" x14ac:dyDescent="0.35">
      <c r="A39" s="37" t="s">
        <v>1562</v>
      </c>
      <c r="B39" s="37"/>
      <c r="C39" s="37" t="s">
        <v>1563</v>
      </c>
      <c r="D39" s="37" t="s">
        <v>1564</v>
      </c>
      <c r="E39" s="37" t="s">
        <v>1565</v>
      </c>
      <c r="F39" s="37"/>
    </row>
    <row r="40" spans="1:6" ht="15" customHeight="1" x14ac:dyDescent="0.35">
      <c r="A40" s="31" t="s">
        <v>1566</v>
      </c>
      <c r="B40" s="31"/>
      <c r="C40" s="32">
        <v>68450</v>
      </c>
      <c r="D40" s="32">
        <v>74210</v>
      </c>
      <c r="E40" s="31" t="s">
        <v>493</v>
      </c>
      <c r="F40" s="31"/>
    </row>
    <row r="41" spans="1:6" ht="15" customHeight="1" x14ac:dyDescent="0.35">
      <c r="A41" s="31" t="s">
        <v>1567</v>
      </c>
      <c r="B41" s="31"/>
      <c r="C41" s="32">
        <v>142890</v>
      </c>
      <c r="D41" s="32">
        <v>158340</v>
      </c>
      <c r="E41" s="31" t="s">
        <v>493</v>
      </c>
      <c r="F41" s="31"/>
    </row>
    <row r="42" spans="1:6" ht="15" customHeight="1" x14ac:dyDescent="0.35">
      <c r="A42" s="31" t="s">
        <v>1568</v>
      </c>
      <c r="B42" s="31"/>
      <c r="C42" s="32">
        <v>38420</v>
      </c>
      <c r="D42" s="32">
        <v>42180</v>
      </c>
      <c r="E42" s="31" t="s">
        <v>493</v>
      </c>
      <c r="F42" s="31"/>
    </row>
    <row r="43" spans="1:6" ht="15" customHeight="1" x14ac:dyDescent="0.35">
      <c r="A43" s="31" t="s">
        <v>1569</v>
      </c>
      <c r="B43" s="31"/>
      <c r="C43" s="32">
        <v>48920</v>
      </c>
      <c r="D43" s="32">
        <v>53250</v>
      </c>
      <c r="E43" s="31" t="s">
        <v>493</v>
      </c>
      <c r="F43" s="31"/>
    </row>
    <row r="44" spans="1:6" ht="15" customHeight="1" x14ac:dyDescent="0.35">
      <c r="A44" s="31" t="s">
        <v>1570</v>
      </c>
      <c r="B44" s="31"/>
      <c r="C44" s="32">
        <v>24678</v>
      </c>
      <c r="D44" s="32">
        <v>23272</v>
      </c>
      <c r="E44" s="31" t="s">
        <v>1571</v>
      </c>
      <c r="F44" s="31"/>
    </row>
    <row r="45" spans="1:6" ht="15" customHeight="1" x14ac:dyDescent="0.35">
      <c r="A45" s="42" t="s">
        <v>1572</v>
      </c>
      <c r="B45" s="42"/>
      <c r="C45" s="43">
        <f>SUM(C40:C44)</f>
        <v>323358</v>
      </c>
      <c r="D45" s="43">
        <f>SUM(D40:D44)</f>
        <v>351252</v>
      </c>
      <c r="E45" s="42"/>
      <c r="F45" s="42"/>
    </row>
    <row r="46" spans="1:6" ht="15" customHeight="1" x14ac:dyDescent="0.35">
      <c r="A46" s="44" t="s">
        <v>1573</v>
      </c>
      <c r="B46" s="44"/>
      <c r="C46" s="45">
        <v>323358</v>
      </c>
      <c r="D46" s="45">
        <v>351252</v>
      </c>
      <c r="E46" s="44"/>
      <c r="F46" s="44"/>
    </row>
    <row r="48" spans="1:6" ht="18" customHeight="1" x14ac:dyDescent="0.35">
      <c r="A48" s="36" t="s">
        <v>1574</v>
      </c>
      <c r="B48" s="36"/>
      <c r="C48" s="36"/>
      <c r="D48" s="36"/>
      <c r="E48" s="36"/>
      <c r="F48" s="36"/>
    </row>
    <row r="49" spans="1:6" ht="25.5" customHeight="1" x14ac:dyDescent="0.35">
      <c r="A49" s="37" t="s">
        <v>1544</v>
      </c>
      <c r="B49" s="37" t="s">
        <v>1103</v>
      </c>
      <c r="C49" s="37" t="s">
        <v>997</v>
      </c>
      <c r="D49" s="37" t="s">
        <v>998</v>
      </c>
      <c r="E49" s="37"/>
      <c r="F49" s="37"/>
    </row>
    <row r="50" spans="1:6" ht="15" customHeight="1" x14ac:dyDescent="0.35">
      <c r="A50" s="31" t="s">
        <v>1575</v>
      </c>
      <c r="B50" s="31" t="s">
        <v>1576</v>
      </c>
      <c r="C50" s="32">
        <v>48282</v>
      </c>
      <c r="D50" s="32">
        <v>62934</v>
      </c>
      <c r="E50" s="31"/>
      <c r="F50" s="31"/>
    </row>
    <row r="51" spans="1:6" ht="15" customHeight="1" x14ac:dyDescent="0.35">
      <c r="A51" s="31" t="s">
        <v>1577</v>
      </c>
      <c r="B51" s="31" t="s">
        <v>1578</v>
      </c>
      <c r="C51" s="32">
        <v>8989</v>
      </c>
      <c r="D51" s="32">
        <v>4953</v>
      </c>
      <c r="E51" s="31"/>
      <c r="F51" s="31"/>
    </row>
    <row r="52" spans="1:6" ht="15" customHeight="1" x14ac:dyDescent="0.35">
      <c r="A52" s="31" t="s">
        <v>1579</v>
      </c>
      <c r="B52" s="31" t="s">
        <v>1580</v>
      </c>
      <c r="C52" s="32">
        <v>187450</v>
      </c>
      <c r="D52" s="32">
        <v>98340</v>
      </c>
      <c r="E52" s="31"/>
      <c r="F52" s="31"/>
    </row>
    <row r="53" spans="1:6" ht="15" customHeight="1" x14ac:dyDescent="0.35">
      <c r="A53" s="31" t="s">
        <v>1581</v>
      </c>
      <c r="B53" s="31" t="s">
        <v>1582</v>
      </c>
      <c r="C53" s="32">
        <v>34280</v>
      </c>
      <c r="D53" s="32">
        <v>28410</v>
      </c>
      <c r="E53" s="31"/>
      <c r="F53" s="31"/>
    </row>
    <row r="54" spans="1:6" ht="15" customHeight="1" x14ac:dyDescent="0.35">
      <c r="A54" s="31" t="s">
        <v>1583</v>
      </c>
      <c r="B54" s="31" t="s">
        <v>1584</v>
      </c>
      <c r="C54" s="32">
        <v>18420</v>
      </c>
      <c r="D54" s="32">
        <v>16840</v>
      </c>
      <c r="E54" s="31"/>
      <c r="F54" s="31"/>
    </row>
    <row r="55" spans="1:6" ht="15" customHeight="1" x14ac:dyDescent="0.35">
      <c r="A55" s="31" t="s">
        <v>1585</v>
      </c>
      <c r="B55" s="31" t="s">
        <v>1586</v>
      </c>
      <c r="C55" s="32">
        <v>145230</v>
      </c>
      <c r="D55" s="32">
        <v>112420</v>
      </c>
      <c r="E55" s="31"/>
      <c r="F55" s="31"/>
    </row>
    <row r="56" spans="1:6" ht="15" customHeight="1" x14ac:dyDescent="0.35">
      <c r="A56" s="31" t="s">
        <v>1587</v>
      </c>
      <c r="B56" s="31" t="s">
        <v>1588</v>
      </c>
      <c r="C56" s="32">
        <v>78450</v>
      </c>
      <c r="D56" s="32">
        <v>62340</v>
      </c>
      <c r="E56" s="31"/>
      <c r="F56" s="31"/>
    </row>
    <row r="57" spans="1:6" ht="15" customHeight="1" x14ac:dyDescent="0.35">
      <c r="A57" s="31" t="s">
        <v>1589</v>
      </c>
      <c r="B57" s="31" t="s">
        <v>1590</v>
      </c>
      <c r="C57" s="32">
        <v>234560</v>
      </c>
      <c r="D57" s="32">
        <v>87420</v>
      </c>
      <c r="E57" s="31"/>
      <c r="F57" s="31"/>
    </row>
    <row r="58" spans="1:6" ht="15" customHeight="1" x14ac:dyDescent="0.35">
      <c r="A58" s="31" t="s">
        <v>1591</v>
      </c>
      <c r="B58" s="31" t="s">
        <v>1592</v>
      </c>
      <c r="C58" s="32">
        <v>114340</v>
      </c>
      <c r="D58" s="32">
        <v>42528</v>
      </c>
      <c r="E58" s="31"/>
      <c r="F58" s="31"/>
    </row>
    <row r="59" spans="1:6" ht="15" customHeight="1" x14ac:dyDescent="0.35">
      <c r="A59" s="31" t="s">
        <v>1593</v>
      </c>
      <c r="B59" s="31" t="s">
        <v>1594</v>
      </c>
      <c r="C59" s="32">
        <v>24982</v>
      </c>
      <c r="D59" s="32">
        <v>1500</v>
      </c>
      <c r="E59" s="31"/>
      <c r="F59" s="31"/>
    </row>
    <row r="60" spans="1:6" ht="15" customHeight="1" x14ac:dyDescent="0.35">
      <c r="A60" s="31" t="s">
        <v>1593</v>
      </c>
      <c r="B60" s="31"/>
      <c r="C60" s="32">
        <v>8000</v>
      </c>
      <c r="D60" s="32">
        <v>2434</v>
      </c>
      <c r="E60" s="31"/>
      <c r="F60" s="31"/>
    </row>
  </sheetData>
  <mergeCells count="5">
    <mergeCell ref="A4:F4"/>
    <mergeCell ref="A21:F21"/>
    <mergeCell ref="A30:F30"/>
    <mergeCell ref="A38:F38"/>
    <mergeCell ref="A48:F4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EAE61-EACA-4275-AEC4-66DB02491AA4}">
  <dimension ref="A1:H30"/>
  <sheetViews>
    <sheetView workbookViewId="0">
      <selection activeCell="D71" sqref="D71"/>
    </sheetView>
  </sheetViews>
  <sheetFormatPr defaultColWidth="8.6328125" defaultRowHeight="14.5" x14ac:dyDescent="0.35"/>
  <cols>
    <col min="1" max="1" width="30" style="35" customWidth="1"/>
    <col min="2" max="2" width="18" style="35" customWidth="1"/>
    <col min="3" max="3" width="38" style="35" customWidth="1"/>
    <col min="4" max="6" width="16" style="35" customWidth="1"/>
    <col min="7" max="7" width="12" style="35" customWidth="1"/>
    <col min="8" max="8" width="14" style="35" customWidth="1"/>
    <col min="9" max="16384" width="8.6328125" style="35"/>
  </cols>
  <sheetData>
    <row r="1" spans="1:8" ht="18" x14ac:dyDescent="0.4">
      <c r="A1" s="34" t="s">
        <v>1595</v>
      </c>
    </row>
    <row r="3" spans="1:8" ht="18" customHeight="1" x14ac:dyDescent="0.35">
      <c r="A3" s="36" t="s">
        <v>1596</v>
      </c>
      <c r="B3" s="36"/>
      <c r="C3" s="36"/>
      <c r="D3" s="36"/>
      <c r="E3" s="36"/>
      <c r="F3" s="36"/>
      <c r="G3" s="36"/>
      <c r="H3" s="36"/>
    </row>
    <row r="4" spans="1:8" ht="23" x14ac:dyDescent="0.35">
      <c r="A4" s="37" t="s">
        <v>1009</v>
      </c>
      <c r="B4" s="37" t="s">
        <v>1390</v>
      </c>
      <c r="C4" s="37" t="s">
        <v>1597</v>
      </c>
      <c r="D4" s="37" t="s">
        <v>1598</v>
      </c>
      <c r="E4" s="37" t="s">
        <v>1599</v>
      </c>
      <c r="F4" s="37" t="s">
        <v>1600</v>
      </c>
      <c r="G4" s="37" t="s">
        <v>430</v>
      </c>
      <c r="H4" s="37" t="s">
        <v>1601</v>
      </c>
    </row>
    <row r="5" spans="1:8" ht="15" customHeight="1" x14ac:dyDescent="0.35">
      <c r="A5" s="31" t="s">
        <v>1602</v>
      </c>
      <c r="B5" s="31" t="s">
        <v>1393</v>
      </c>
      <c r="C5" s="31" t="s">
        <v>1603</v>
      </c>
      <c r="D5" s="32">
        <v>4234560</v>
      </c>
      <c r="E5" s="32">
        <v>3845230</v>
      </c>
      <c r="F5" s="32">
        <v>4234560</v>
      </c>
      <c r="G5" s="31" t="s">
        <v>493</v>
      </c>
      <c r="H5" s="31" t="s">
        <v>1604</v>
      </c>
    </row>
    <row r="6" spans="1:8" ht="15" customHeight="1" x14ac:dyDescent="0.35">
      <c r="A6" s="31" t="s">
        <v>1605</v>
      </c>
      <c r="B6" s="31" t="s">
        <v>1606</v>
      </c>
      <c r="C6" s="31" t="s">
        <v>1603</v>
      </c>
      <c r="D6" s="32">
        <v>1845230</v>
      </c>
      <c r="E6" s="32">
        <v>1623450</v>
      </c>
      <c r="F6" s="32">
        <v>1942810</v>
      </c>
      <c r="G6" s="31" t="s">
        <v>493</v>
      </c>
      <c r="H6" s="31" t="s">
        <v>1607</v>
      </c>
    </row>
    <row r="7" spans="1:8" ht="15" customHeight="1" x14ac:dyDescent="0.35">
      <c r="A7" s="31" t="s">
        <v>1608</v>
      </c>
      <c r="B7" s="31" t="s">
        <v>1393</v>
      </c>
      <c r="C7" s="31" t="s">
        <v>251</v>
      </c>
      <c r="D7" s="32">
        <v>892340</v>
      </c>
      <c r="E7" s="32">
        <v>784560</v>
      </c>
      <c r="F7" s="32">
        <v>823450</v>
      </c>
      <c r="G7" s="31" t="s">
        <v>493</v>
      </c>
      <c r="H7" s="31" t="s">
        <v>1609</v>
      </c>
    </row>
    <row r="8" spans="1:8" ht="15" customHeight="1" x14ac:dyDescent="0.35">
      <c r="A8" s="31" t="s">
        <v>1610</v>
      </c>
      <c r="B8" s="31" t="s">
        <v>1393</v>
      </c>
      <c r="C8" s="31" t="s">
        <v>1611</v>
      </c>
      <c r="D8" s="32">
        <v>324580</v>
      </c>
      <c r="E8" s="32">
        <v>287340</v>
      </c>
      <c r="F8" s="32">
        <v>312450</v>
      </c>
      <c r="G8" s="31" t="s">
        <v>493</v>
      </c>
      <c r="H8" s="31" t="s">
        <v>1604</v>
      </c>
    </row>
    <row r="10" spans="1:8" ht="18" customHeight="1" x14ac:dyDescent="0.35">
      <c r="A10" s="36" t="s">
        <v>1612</v>
      </c>
      <c r="B10" s="36"/>
      <c r="C10" s="36"/>
      <c r="D10" s="36"/>
      <c r="E10" s="36"/>
      <c r="F10" s="36"/>
      <c r="G10" s="36"/>
      <c r="H10" s="36"/>
    </row>
    <row r="11" spans="1:8" ht="23" x14ac:dyDescent="0.35">
      <c r="A11" s="37" t="s">
        <v>1009</v>
      </c>
      <c r="B11" s="37" t="s">
        <v>1390</v>
      </c>
      <c r="C11" s="37" t="s">
        <v>1613</v>
      </c>
      <c r="D11" s="37" t="s">
        <v>1598</v>
      </c>
      <c r="E11" s="37" t="s">
        <v>1599</v>
      </c>
      <c r="F11" s="37" t="s">
        <v>1600</v>
      </c>
      <c r="G11" s="37" t="s">
        <v>430</v>
      </c>
      <c r="H11" s="37" t="s">
        <v>1601</v>
      </c>
    </row>
    <row r="12" spans="1:8" ht="15" customHeight="1" x14ac:dyDescent="0.35">
      <c r="A12" s="31" t="s">
        <v>1614</v>
      </c>
      <c r="B12" s="31" t="s">
        <v>1393</v>
      </c>
      <c r="C12" s="31" t="s">
        <v>1615</v>
      </c>
      <c r="D12" s="32">
        <v>8234560</v>
      </c>
      <c r="E12" s="32">
        <v>7654320</v>
      </c>
      <c r="F12" s="32">
        <v>8012340</v>
      </c>
      <c r="G12" s="31" t="s">
        <v>493</v>
      </c>
      <c r="H12" s="31" t="s">
        <v>1616</v>
      </c>
    </row>
    <row r="13" spans="1:8" ht="15" customHeight="1" x14ac:dyDescent="0.35">
      <c r="A13" s="31" t="s">
        <v>1617</v>
      </c>
      <c r="B13" s="31" t="s">
        <v>1393</v>
      </c>
      <c r="C13" s="31" t="s">
        <v>1618</v>
      </c>
      <c r="D13" s="32">
        <v>4523450</v>
      </c>
      <c r="E13" s="32">
        <v>4012340</v>
      </c>
      <c r="F13" s="32">
        <v>4345230</v>
      </c>
      <c r="G13" s="31" t="s">
        <v>493</v>
      </c>
      <c r="H13" s="31" t="s">
        <v>1619</v>
      </c>
    </row>
    <row r="14" spans="1:8" ht="15" customHeight="1" x14ac:dyDescent="0.35">
      <c r="A14" s="31" t="s">
        <v>1620</v>
      </c>
      <c r="B14" s="31" t="s">
        <v>1393</v>
      </c>
      <c r="C14" s="31" t="s">
        <v>1621</v>
      </c>
      <c r="D14" s="32">
        <v>2134560</v>
      </c>
      <c r="E14" s="32">
        <v>1892340</v>
      </c>
      <c r="F14" s="32">
        <v>2034560</v>
      </c>
      <c r="G14" s="31" t="s">
        <v>493</v>
      </c>
      <c r="H14" s="31" t="s">
        <v>1609</v>
      </c>
    </row>
    <row r="15" spans="1:8" ht="15" customHeight="1" x14ac:dyDescent="0.35">
      <c r="A15" s="31" t="s">
        <v>1622</v>
      </c>
      <c r="B15" s="31" t="s">
        <v>1606</v>
      </c>
      <c r="C15" s="31" t="s">
        <v>1615</v>
      </c>
      <c r="D15" s="32">
        <v>1245670</v>
      </c>
      <c r="E15" s="32">
        <v>1023450</v>
      </c>
      <c r="F15" s="32">
        <v>1189450</v>
      </c>
      <c r="G15" s="31" t="s">
        <v>493</v>
      </c>
      <c r="H15" s="31" t="s">
        <v>1623</v>
      </c>
    </row>
    <row r="16" spans="1:8" ht="15" customHeight="1" x14ac:dyDescent="0.35">
      <c r="A16" s="31" t="s">
        <v>1624</v>
      </c>
      <c r="B16" s="31" t="s">
        <v>1625</v>
      </c>
      <c r="C16" s="31" t="s">
        <v>1618</v>
      </c>
      <c r="D16" s="32">
        <v>345230</v>
      </c>
      <c r="E16" s="32">
        <v>312450</v>
      </c>
      <c r="F16" s="32">
        <v>298450</v>
      </c>
      <c r="G16" s="31" t="s">
        <v>493</v>
      </c>
      <c r="H16" s="31" t="s">
        <v>1609</v>
      </c>
    </row>
    <row r="18" spans="1:8" ht="18" customHeight="1" x14ac:dyDescent="0.35">
      <c r="A18" s="36" t="s">
        <v>1626</v>
      </c>
      <c r="B18" s="36"/>
      <c r="C18" s="36"/>
      <c r="D18" s="36"/>
      <c r="E18" s="36"/>
      <c r="F18" s="36"/>
      <c r="G18" s="36"/>
      <c r="H18" s="36"/>
    </row>
    <row r="19" spans="1:8" ht="23" x14ac:dyDescent="0.35">
      <c r="A19" s="37" t="s">
        <v>1009</v>
      </c>
      <c r="B19" s="37" t="s">
        <v>1390</v>
      </c>
      <c r="C19" s="37" t="s">
        <v>1006</v>
      </c>
      <c r="D19" s="37" t="s">
        <v>1598</v>
      </c>
      <c r="E19" s="37" t="s">
        <v>1599</v>
      </c>
      <c r="F19" s="37" t="s">
        <v>1600</v>
      </c>
      <c r="G19" s="37" t="s">
        <v>430</v>
      </c>
      <c r="H19" s="37" t="s">
        <v>1601</v>
      </c>
    </row>
    <row r="20" spans="1:8" ht="15" customHeight="1" x14ac:dyDescent="0.35">
      <c r="A20" s="31" t="s">
        <v>1627</v>
      </c>
      <c r="B20" s="31" t="s">
        <v>1393</v>
      </c>
      <c r="C20" s="31" t="s">
        <v>1628</v>
      </c>
      <c r="D20" s="32">
        <v>2345670</v>
      </c>
      <c r="E20" s="32">
        <v>1987450</v>
      </c>
      <c r="F20" s="32">
        <v>2134560</v>
      </c>
      <c r="G20" s="31" t="s">
        <v>493</v>
      </c>
      <c r="H20" s="31" t="s">
        <v>1604</v>
      </c>
    </row>
    <row r="21" spans="1:8" ht="15" customHeight="1" x14ac:dyDescent="0.35">
      <c r="A21" s="31" t="s">
        <v>1629</v>
      </c>
      <c r="B21" s="31" t="s">
        <v>1393</v>
      </c>
      <c r="C21" s="31" t="s">
        <v>1630</v>
      </c>
      <c r="D21" s="32">
        <v>8234560</v>
      </c>
      <c r="E21" s="32">
        <v>7123450</v>
      </c>
      <c r="F21" s="32">
        <v>7456230</v>
      </c>
      <c r="G21" s="31" t="s">
        <v>493</v>
      </c>
      <c r="H21" s="31" t="s">
        <v>1609</v>
      </c>
    </row>
    <row r="22" spans="1:8" ht="15" customHeight="1" x14ac:dyDescent="0.35">
      <c r="A22" s="31" t="s">
        <v>1631</v>
      </c>
      <c r="B22" s="31" t="s">
        <v>1625</v>
      </c>
      <c r="C22" s="31" t="s">
        <v>1632</v>
      </c>
      <c r="D22" s="32">
        <v>4523450</v>
      </c>
      <c r="E22" s="32">
        <v>3892340</v>
      </c>
      <c r="F22" s="32">
        <v>4123450</v>
      </c>
      <c r="G22" s="31" t="s">
        <v>493</v>
      </c>
      <c r="H22" s="31" t="s">
        <v>833</v>
      </c>
    </row>
    <row r="23" spans="1:8" ht="15" customHeight="1" x14ac:dyDescent="0.35">
      <c r="A23" s="31" t="s">
        <v>1633</v>
      </c>
      <c r="B23" s="31" t="s">
        <v>1625</v>
      </c>
      <c r="C23" s="31" t="s">
        <v>1634</v>
      </c>
      <c r="D23" s="32">
        <v>2134560</v>
      </c>
      <c r="E23" s="32">
        <v>1845230</v>
      </c>
      <c r="F23" s="32">
        <v>1978450</v>
      </c>
      <c r="G23" s="31" t="s">
        <v>493</v>
      </c>
      <c r="H23" s="31" t="s">
        <v>1635</v>
      </c>
    </row>
    <row r="25" spans="1:8" ht="18" customHeight="1" x14ac:dyDescent="0.35">
      <c r="A25" s="36" t="s">
        <v>1636</v>
      </c>
      <c r="B25" s="36"/>
      <c r="C25" s="36"/>
      <c r="D25" s="36"/>
      <c r="E25" s="36"/>
      <c r="F25" s="36"/>
      <c r="G25" s="36"/>
      <c r="H25" s="36"/>
    </row>
    <row r="26" spans="1:8" ht="23" x14ac:dyDescent="0.35">
      <c r="A26" s="37" t="s">
        <v>1544</v>
      </c>
      <c r="B26" s="37"/>
      <c r="C26" s="37"/>
      <c r="D26" s="37" t="s">
        <v>1637</v>
      </c>
      <c r="E26" s="37" t="s">
        <v>1638</v>
      </c>
      <c r="F26" s="37" t="s">
        <v>1639</v>
      </c>
      <c r="G26" s="37"/>
      <c r="H26" s="37"/>
    </row>
    <row r="27" spans="1:8" ht="15" customHeight="1" x14ac:dyDescent="0.35">
      <c r="A27" s="31" t="s">
        <v>1640</v>
      </c>
      <c r="B27" s="31"/>
      <c r="C27" s="31"/>
      <c r="D27" s="32">
        <v>6540470</v>
      </c>
      <c r="E27" s="32">
        <v>6540470</v>
      </c>
      <c r="F27" s="32">
        <v>5879570</v>
      </c>
      <c r="G27" s="31"/>
      <c r="H27" s="31"/>
    </row>
    <row r="28" spans="1:8" ht="15" customHeight="1" x14ac:dyDescent="0.35">
      <c r="A28" s="31" t="s">
        <v>1641</v>
      </c>
      <c r="B28" s="31"/>
      <c r="C28" s="31"/>
      <c r="D28" s="32">
        <v>16483470</v>
      </c>
      <c r="E28" s="32">
        <v>16483470</v>
      </c>
      <c r="F28" s="32">
        <v>14945340</v>
      </c>
      <c r="G28" s="31"/>
      <c r="H28" s="31"/>
    </row>
    <row r="29" spans="1:8" ht="15" customHeight="1" x14ac:dyDescent="0.35">
      <c r="A29" s="31" t="s">
        <v>1642</v>
      </c>
      <c r="B29" s="31"/>
      <c r="C29" s="31"/>
      <c r="D29" s="32">
        <v>1987450</v>
      </c>
      <c r="E29" s="32">
        <v>1987450</v>
      </c>
      <c r="F29" s="32">
        <v>2134560</v>
      </c>
      <c r="G29" s="31"/>
      <c r="H29" s="31"/>
    </row>
    <row r="30" spans="1:8" ht="15" customHeight="1" x14ac:dyDescent="0.35">
      <c r="A30" s="31" t="s">
        <v>1643</v>
      </c>
      <c r="B30" s="31"/>
      <c r="C30" s="31"/>
      <c r="D30" s="32">
        <v>13882020</v>
      </c>
      <c r="E30" s="32">
        <v>13882020</v>
      </c>
      <c r="F30" s="32">
        <v>13558130</v>
      </c>
      <c r="G30" s="31"/>
      <c r="H30" s="31"/>
    </row>
  </sheetData>
  <mergeCells count="4">
    <mergeCell ref="A3:H3"/>
    <mergeCell ref="A10:H10"/>
    <mergeCell ref="A18:H18"/>
    <mergeCell ref="A25:H2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79D9B-91D6-42EB-8D42-22289F1753F4}">
  <dimension ref="A1:G90"/>
  <sheetViews>
    <sheetView topLeftCell="A62" workbookViewId="0">
      <selection activeCell="D71" sqref="D71"/>
    </sheetView>
  </sheetViews>
  <sheetFormatPr defaultColWidth="8.6328125" defaultRowHeight="14.5" x14ac:dyDescent="0.35"/>
  <cols>
    <col min="1" max="1" width="50" style="35" customWidth="1"/>
    <col min="2" max="2" width="40" style="35" customWidth="1"/>
    <col min="3" max="5" width="15" style="35" customWidth="1"/>
    <col min="6" max="6" width="20" style="35" customWidth="1"/>
    <col min="7" max="16384" width="8.6328125" style="35"/>
  </cols>
  <sheetData>
    <row r="1" spans="1:7" ht="17.25" customHeight="1" x14ac:dyDescent="0.4">
      <c r="A1" s="34" t="s">
        <v>1644</v>
      </c>
    </row>
    <row r="3" spans="1:7" ht="18" customHeight="1" x14ac:dyDescent="0.35">
      <c r="A3" s="36" t="s">
        <v>1645</v>
      </c>
      <c r="B3" s="36"/>
      <c r="C3" s="36"/>
      <c r="D3" s="36"/>
      <c r="E3" s="36"/>
      <c r="F3" s="36"/>
    </row>
    <row r="4" spans="1:7" ht="25.5" customHeight="1" x14ac:dyDescent="0.35">
      <c r="A4" s="37" t="s">
        <v>1646</v>
      </c>
      <c r="B4" s="37" t="s">
        <v>1647</v>
      </c>
      <c r="C4" s="37" t="s">
        <v>390</v>
      </c>
      <c r="D4" s="37" t="s">
        <v>381</v>
      </c>
      <c r="E4" s="37" t="s">
        <v>1648</v>
      </c>
      <c r="F4" s="37" t="s">
        <v>1649</v>
      </c>
    </row>
    <row r="5" spans="1:7" ht="15" customHeight="1" x14ac:dyDescent="0.35">
      <c r="A5" s="31" t="s">
        <v>1650</v>
      </c>
      <c r="B5" s="31" t="s">
        <v>1651</v>
      </c>
      <c r="C5" s="32">
        <v>4248743</v>
      </c>
      <c r="D5" s="32">
        <v>3736402</v>
      </c>
      <c r="E5" s="31" t="s">
        <v>1652</v>
      </c>
      <c r="F5" s="31" t="s">
        <v>1653</v>
      </c>
    </row>
    <row r="6" spans="1:7" ht="15" customHeight="1" x14ac:dyDescent="0.35">
      <c r="A6" s="31" t="s">
        <v>1650</v>
      </c>
      <c r="B6" s="31" t="s">
        <v>1654</v>
      </c>
      <c r="C6" s="32">
        <v>571480</v>
      </c>
      <c r="D6" s="32">
        <v>504312</v>
      </c>
      <c r="E6" s="31" t="s">
        <v>1655</v>
      </c>
      <c r="F6" s="31" t="s">
        <v>1656</v>
      </c>
      <c r="G6" s="46"/>
    </row>
    <row r="7" spans="1:7" ht="15" customHeight="1" x14ac:dyDescent="0.35">
      <c r="A7" s="31" t="s">
        <v>1650</v>
      </c>
      <c r="B7" s="31" t="s">
        <v>1657</v>
      </c>
      <c r="C7" s="32">
        <v>786450</v>
      </c>
      <c r="D7" s="32">
        <v>712340</v>
      </c>
      <c r="E7" s="31" t="s">
        <v>1658</v>
      </c>
      <c r="F7" s="31" t="s">
        <v>1659</v>
      </c>
    </row>
    <row r="8" spans="1:7" ht="15" customHeight="1" x14ac:dyDescent="0.35">
      <c r="A8" s="31" t="s">
        <v>1650</v>
      </c>
      <c r="B8" s="31" t="s">
        <v>1660</v>
      </c>
      <c r="C8" s="32">
        <v>1045230</v>
      </c>
      <c r="D8" s="32">
        <v>923456</v>
      </c>
      <c r="E8" s="31" t="s">
        <v>1661</v>
      </c>
      <c r="F8" s="31" t="s">
        <v>1662</v>
      </c>
    </row>
    <row r="9" spans="1:7" ht="15" customHeight="1" x14ac:dyDescent="0.35">
      <c r="A9" s="31" t="s">
        <v>1650</v>
      </c>
      <c r="B9" s="31" t="s">
        <v>1663</v>
      </c>
      <c r="C9" s="32">
        <v>18221</v>
      </c>
      <c r="D9" s="32">
        <v>81230</v>
      </c>
      <c r="E9" s="31" t="s">
        <v>1664</v>
      </c>
      <c r="F9" s="31" t="s">
        <v>1665</v>
      </c>
    </row>
    <row r="10" spans="1:7" ht="15" customHeight="1" x14ac:dyDescent="0.35">
      <c r="A10" s="31" t="s">
        <v>1666</v>
      </c>
      <c r="B10" s="31" t="s">
        <v>1667</v>
      </c>
      <c r="C10" s="32">
        <v>974042</v>
      </c>
      <c r="D10" s="32">
        <v>925943</v>
      </c>
      <c r="E10" s="31" t="s">
        <v>1668</v>
      </c>
      <c r="F10" s="31" t="s">
        <v>1669</v>
      </c>
    </row>
    <row r="11" spans="1:7" ht="15" customHeight="1" x14ac:dyDescent="0.35">
      <c r="A11" s="31" t="s">
        <v>1670</v>
      </c>
      <c r="B11" s="31" t="s">
        <v>1671</v>
      </c>
      <c r="C11" s="32">
        <v>402986</v>
      </c>
      <c r="D11" s="32">
        <v>380506</v>
      </c>
      <c r="E11" s="31" t="s">
        <v>1672</v>
      </c>
      <c r="F11" s="31" t="s">
        <v>1673</v>
      </c>
    </row>
    <row r="12" spans="1:7" ht="15" customHeight="1" x14ac:dyDescent="0.35">
      <c r="A12" s="31" t="s">
        <v>1674</v>
      </c>
      <c r="B12" s="31" t="s">
        <v>1675</v>
      </c>
      <c r="C12" s="32">
        <v>199242</v>
      </c>
      <c r="D12" s="32">
        <v>376579</v>
      </c>
      <c r="E12" s="31" t="s">
        <v>251</v>
      </c>
      <c r="F12" s="31" t="s">
        <v>1676</v>
      </c>
    </row>
    <row r="13" spans="1:7" ht="15" customHeight="1" x14ac:dyDescent="0.35">
      <c r="A13" s="31" t="s">
        <v>1677</v>
      </c>
      <c r="B13" s="31" t="s">
        <v>1678</v>
      </c>
      <c r="C13" s="32">
        <v>350791</v>
      </c>
      <c r="D13" s="32">
        <v>439585</v>
      </c>
      <c r="E13" s="31" t="s">
        <v>1679</v>
      </c>
      <c r="F13" s="31" t="s">
        <v>1680</v>
      </c>
    </row>
    <row r="14" spans="1:7" ht="15" customHeight="1" x14ac:dyDescent="0.35">
      <c r="A14" s="39"/>
      <c r="B14" s="39"/>
      <c r="C14" s="47"/>
      <c r="D14" s="47"/>
      <c r="E14" s="39"/>
      <c r="F14" s="39"/>
    </row>
    <row r="15" spans="1:7" ht="15" customHeight="1" x14ac:dyDescent="0.35">
      <c r="A15" s="39"/>
      <c r="B15" s="39"/>
      <c r="C15" s="47"/>
      <c r="D15" s="47"/>
      <c r="E15" s="39"/>
      <c r="F15" s="39"/>
    </row>
    <row r="16" spans="1:7" ht="18" customHeight="1" x14ac:dyDescent="0.35">
      <c r="A16" s="36" t="s">
        <v>1681</v>
      </c>
      <c r="B16" s="36"/>
      <c r="C16" s="36"/>
      <c r="D16" s="36"/>
      <c r="E16" s="36"/>
      <c r="F16" s="36"/>
    </row>
    <row r="17" spans="1:6" ht="25.5" customHeight="1" x14ac:dyDescent="0.35">
      <c r="A17" s="37" t="s">
        <v>1682</v>
      </c>
      <c r="B17" s="37" t="s">
        <v>1683</v>
      </c>
      <c r="C17" s="37" t="s">
        <v>390</v>
      </c>
      <c r="D17" s="37" t="s">
        <v>381</v>
      </c>
      <c r="E17" s="37" t="s">
        <v>1648</v>
      </c>
      <c r="F17" s="37" t="s">
        <v>1684</v>
      </c>
    </row>
    <row r="18" spans="1:6" ht="15" customHeight="1" x14ac:dyDescent="0.35">
      <c r="A18" s="31" t="s">
        <v>1685</v>
      </c>
      <c r="B18" s="31" t="s">
        <v>1686</v>
      </c>
      <c r="C18" s="32">
        <v>1124340</v>
      </c>
      <c r="D18" s="32">
        <v>1023450</v>
      </c>
      <c r="E18" s="31" t="s">
        <v>509</v>
      </c>
      <c r="F18" s="31" t="s">
        <v>1687</v>
      </c>
    </row>
    <row r="19" spans="1:6" ht="15" customHeight="1" x14ac:dyDescent="0.35">
      <c r="A19" s="31" t="s">
        <v>1688</v>
      </c>
      <c r="B19" s="31" t="s">
        <v>1689</v>
      </c>
      <c r="C19" s="32">
        <v>2854230</v>
      </c>
      <c r="D19" s="32">
        <v>2578034</v>
      </c>
      <c r="E19" s="31" t="s">
        <v>1690</v>
      </c>
      <c r="F19" s="31" t="s">
        <v>1691</v>
      </c>
    </row>
    <row r="20" spans="1:6" ht="15" customHeight="1" x14ac:dyDescent="0.35">
      <c r="A20" s="31" t="s">
        <v>1692</v>
      </c>
      <c r="B20" s="31" t="s">
        <v>1693</v>
      </c>
      <c r="C20" s="32">
        <v>143028</v>
      </c>
      <c r="D20" s="32">
        <v>139175</v>
      </c>
      <c r="E20" s="31" t="s">
        <v>251</v>
      </c>
      <c r="F20" s="31" t="s">
        <v>1694</v>
      </c>
    </row>
    <row r="21" spans="1:6" ht="15" customHeight="1" x14ac:dyDescent="0.35">
      <c r="A21" s="31" t="s">
        <v>1695</v>
      </c>
      <c r="B21" s="31" t="s">
        <v>1696</v>
      </c>
      <c r="C21" s="32">
        <v>1164669</v>
      </c>
      <c r="D21" s="32">
        <v>1107031</v>
      </c>
      <c r="E21" s="31" t="s">
        <v>1697</v>
      </c>
      <c r="F21" s="31" t="s">
        <v>1698</v>
      </c>
    </row>
    <row r="22" spans="1:6" ht="15" customHeight="1" x14ac:dyDescent="0.35">
      <c r="A22" s="31" t="s">
        <v>1699</v>
      </c>
      <c r="B22" s="31" t="s">
        <v>1700</v>
      </c>
      <c r="C22" s="32">
        <v>157659</v>
      </c>
      <c r="D22" s="32">
        <v>331951</v>
      </c>
      <c r="E22" s="31" t="s">
        <v>251</v>
      </c>
      <c r="F22" s="31" t="s">
        <v>1676</v>
      </c>
    </row>
    <row r="23" spans="1:6" ht="15" customHeight="1" x14ac:dyDescent="0.35">
      <c r="A23" s="31" t="s">
        <v>1701</v>
      </c>
      <c r="B23" s="31" t="s">
        <v>1702</v>
      </c>
      <c r="C23" s="32">
        <v>105000</v>
      </c>
      <c r="D23" s="32">
        <v>105000</v>
      </c>
      <c r="E23" s="31" t="s">
        <v>1703</v>
      </c>
      <c r="F23" s="31" t="s">
        <v>1704</v>
      </c>
    </row>
    <row r="24" spans="1:6" ht="15" customHeight="1" x14ac:dyDescent="0.35">
      <c r="A24" s="31" t="s">
        <v>1705</v>
      </c>
      <c r="B24" s="31" t="s">
        <v>1706</v>
      </c>
      <c r="C24" s="32">
        <v>36984</v>
      </c>
      <c r="D24" s="32">
        <v>52645</v>
      </c>
      <c r="E24" s="31" t="s">
        <v>1707</v>
      </c>
      <c r="F24" s="31" t="s">
        <v>1708</v>
      </c>
    </row>
    <row r="25" spans="1:6" ht="15" customHeight="1" x14ac:dyDescent="0.35">
      <c r="A25" s="31" t="s">
        <v>1709</v>
      </c>
      <c r="B25" s="31" t="s">
        <v>1710</v>
      </c>
      <c r="C25" s="32">
        <v>16495</v>
      </c>
      <c r="D25" s="32">
        <v>11591</v>
      </c>
      <c r="E25" s="31" t="s">
        <v>1711</v>
      </c>
      <c r="F25" s="31" t="s">
        <v>1712</v>
      </c>
    </row>
    <row r="26" spans="1:6" ht="15" customHeight="1" x14ac:dyDescent="0.35">
      <c r="A26" s="31" t="s">
        <v>1713</v>
      </c>
      <c r="B26" s="31" t="s">
        <v>1714</v>
      </c>
      <c r="C26" s="32">
        <v>-4872</v>
      </c>
      <c r="D26" s="32">
        <v>-4506</v>
      </c>
      <c r="E26" s="31" t="s">
        <v>443</v>
      </c>
      <c r="F26" s="31" t="s">
        <v>1715</v>
      </c>
    </row>
    <row r="27" spans="1:6" ht="15" customHeight="1" x14ac:dyDescent="0.35">
      <c r="A27" s="39"/>
      <c r="B27" s="39"/>
      <c r="C27" s="47"/>
      <c r="D27" s="47"/>
      <c r="E27" s="39"/>
      <c r="F27" s="39"/>
    </row>
    <row r="28" spans="1:6" ht="15" customHeight="1" x14ac:dyDescent="0.35">
      <c r="A28" s="39"/>
      <c r="B28" s="39"/>
      <c r="C28" s="47"/>
      <c r="D28" s="47"/>
      <c r="E28" s="39"/>
      <c r="F28" s="39"/>
    </row>
    <row r="30" spans="1:6" ht="18" customHeight="1" x14ac:dyDescent="0.35">
      <c r="A30" s="36" t="s">
        <v>1716</v>
      </c>
      <c r="B30" s="36"/>
      <c r="C30" s="36"/>
      <c r="D30" s="36"/>
      <c r="E30" s="36"/>
      <c r="F30" s="36"/>
    </row>
    <row r="31" spans="1:6" ht="25.5" customHeight="1" x14ac:dyDescent="0.35">
      <c r="A31" s="37" t="s">
        <v>1717</v>
      </c>
      <c r="B31" s="37" t="s">
        <v>1718</v>
      </c>
      <c r="C31" s="37" t="s">
        <v>390</v>
      </c>
      <c r="D31" s="37" t="s">
        <v>381</v>
      </c>
      <c r="E31" s="37" t="s">
        <v>1719</v>
      </c>
      <c r="F31" s="37" t="s">
        <v>1720</v>
      </c>
    </row>
    <row r="32" spans="1:6" ht="15" customHeight="1" x14ac:dyDescent="0.35">
      <c r="A32" s="31" t="s">
        <v>1721</v>
      </c>
      <c r="B32" s="31" t="s">
        <v>1722</v>
      </c>
      <c r="C32" s="32">
        <v>381030</v>
      </c>
      <c r="D32" s="32">
        <v>380234</v>
      </c>
      <c r="E32" s="31">
        <f t="shared" ref="E32:E40" si="0">C32-D32</f>
        <v>796</v>
      </c>
      <c r="F32" s="31">
        <f>C32/SUM(C32:C40)</f>
        <v>0.33546600130478077</v>
      </c>
    </row>
    <row r="33" spans="1:6" ht="15" customHeight="1" x14ac:dyDescent="0.35">
      <c r="A33" s="31" t="s">
        <v>131</v>
      </c>
      <c r="B33" s="31" t="s">
        <v>1723</v>
      </c>
      <c r="C33" s="32">
        <v>283027</v>
      </c>
      <c r="D33" s="32">
        <v>188095</v>
      </c>
      <c r="E33" s="31">
        <f t="shared" si="0"/>
        <v>94932</v>
      </c>
      <c r="F33" s="31">
        <f>C33/SUM(C32:C40)</f>
        <v>0.24918231097627008</v>
      </c>
    </row>
    <row r="34" spans="1:6" ht="15" customHeight="1" x14ac:dyDescent="0.35">
      <c r="A34" s="31" t="s">
        <v>1724</v>
      </c>
      <c r="B34" s="31" t="s">
        <v>1725</v>
      </c>
      <c r="C34" s="32">
        <v>177571</v>
      </c>
      <c r="D34" s="32">
        <v>147736</v>
      </c>
      <c r="E34" s="31">
        <f t="shared" si="0"/>
        <v>29835</v>
      </c>
      <c r="F34" s="31">
        <f>C34/SUM(C32:C40)</f>
        <v>0.15633685882395409</v>
      </c>
    </row>
    <row r="35" spans="1:6" ht="15" customHeight="1" x14ac:dyDescent="0.35">
      <c r="A35" s="31" t="s">
        <v>1726</v>
      </c>
      <c r="B35" s="31" t="s">
        <v>1723</v>
      </c>
      <c r="C35" s="32">
        <v>97666</v>
      </c>
      <c r="D35" s="32">
        <v>171684</v>
      </c>
      <c r="E35" s="31">
        <f t="shared" si="0"/>
        <v>-74018</v>
      </c>
      <c r="F35" s="31">
        <f>C35/SUM(C32:C40)</f>
        <v>8.5986989169967498E-2</v>
      </c>
    </row>
    <row r="36" spans="1:6" ht="15" customHeight="1" x14ac:dyDescent="0.35">
      <c r="A36" s="31" t="s">
        <v>134</v>
      </c>
      <c r="B36" s="31" t="s">
        <v>1727</v>
      </c>
      <c r="C36" s="32">
        <v>63345</v>
      </c>
      <c r="D36" s="32">
        <v>71803</v>
      </c>
      <c r="E36" s="31">
        <f t="shared" si="0"/>
        <v>-8458</v>
      </c>
      <c r="F36" s="31">
        <f>C36/SUM(C32:C40)</f>
        <v>5.5770133198570555E-2</v>
      </c>
    </row>
    <row r="37" spans="1:6" ht="15" customHeight="1" x14ac:dyDescent="0.35">
      <c r="A37" s="31" t="s">
        <v>135</v>
      </c>
      <c r="B37" s="31" t="s">
        <v>1723</v>
      </c>
      <c r="C37" s="32">
        <v>19905</v>
      </c>
      <c r="D37" s="32">
        <v>20937</v>
      </c>
      <c r="E37" s="31">
        <f t="shared" si="0"/>
        <v>-1032</v>
      </c>
      <c r="F37" s="31">
        <f>C37/SUM(C32:C40)</f>
        <v>1.7524737569145896E-2</v>
      </c>
    </row>
    <row r="38" spans="1:6" ht="15" customHeight="1" x14ac:dyDescent="0.35">
      <c r="A38" s="31" t="s">
        <v>1728</v>
      </c>
      <c r="B38" s="31" t="s">
        <v>1729</v>
      </c>
      <c r="C38" s="32">
        <v>51904</v>
      </c>
      <c r="D38" s="32">
        <v>35555</v>
      </c>
      <c r="E38" s="31">
        <f t="shared" si="0"/>
        <v>16349</v>
      </c>
      <c r="F38" s="31">
        <f>C38/SUM(C32:C40)</f>
        <v>4.5697260928859514E-2</v>
      </c>
    </row>
    <row r="39" spans="1:6" ht="15" customHeight="1" x14ac:dyDescent="0.35">
      <c r="A39" s="31" t="s">
        <v>1730</v>
      </c>
      <c r="B39" s="31" t="s">
        <v>1723</v>
      </c>
      <c r="C39" s="32">
        <v>18300</v>
      </c>
      <c r="D39" s="32">
        <v>14469</v>
      </c>
      <c r="E39" s="31">
        <f t="shared" si="0"/>
        <v>3831</v>
      </c>
      <c r="F39" s="31">
        <f>C39/SUM(C32:C40)</f>
        <v>1.611166528587641E-2</v>
      </c>
    </row>
    <row r="40" spans="1:6" ht="15" customHeight="1" x14ac:dyDescent="0.35">
      <c r="A40" s="31" t="s">
        <v>1731</v>
      </c>
      <c r="B40" s="31" t="s">
        <v>251</v>
      </c>
      <c r="C40" s="32">
        <v>43075</v>
      </c>
      <c r="D40" s="32">
        <v>55153</v>
      </c>
      <c r="E40" s="31">
        <f t="shared" si="0"/>
        <v>-12078</v>
      </c>
      <c r="F40" s="31">
        <f>C40/SUM(C32:C40)</f>
        <v>3.7924042742575208E-2</v>
      </c>
    </row>
    <row r="41" spans="1:6" ht="15" customHeight="1" x14ac:dyDescent="0.35">
      <c r="A41" s="39"/>
      <c r="B41" s="39"/>
      <c r="C41" s="47"/>
      <c r="D41" s="47"/>
      <c r="E41" s="39"/>
      <c r="F41" s="39"/>
    </row>
    <row r="42" spans="1:6" ht="15" customHeight="1" x14ac:dyDescent="0.35">
      <c r="A42" s="39"/>
      <c r="B42" s="39"/>
      <c r="C42" s="47"/>
      <c r="D42" s="47"/>
      <c r="E42" s="39"/>
      <c r="F42" s="39"/>
    </row>
    <row r="43" spans="1:6" ht="25.5" customHeight="1" x14ac:dyDescent="0.35">
      <c r="A43" s="37" t="s">
        <v>1732</v>
      </c>
      <c r="B43" s="37" t="s">
        <v>1733</v>
      </c>
      <c r="C43" s="37" t="s">
        <v>390</v>
      </c>
      <c r="D43" s="37" t="s">
        <v>381</v>
      </c>
      <c r="E43" s="37"/>
      <c r="F43" s="37"/>
    </row>
    <row r="44" spans="1:6" ht="15" customHeight="1" x14ac:dyDescent="0.35">
      <c r="A44" s="31" t="s">
        <v>1734</v>
      </c>
      <c r="B44" s="31" t="s">
        <v>1722</v>
      </c>
      <c r="C44" s="32">
        <v>305026</v>
      </c>
      <c r="D44" s="32">
        <v>348936</v>
      </c>
      <c r="E44" s="31"/>
      <c r="F44" s="31"/>
    </row>
    <row r="45" spans="1:6" ht="15" customHeight="1" x14ac:dyDescent="0.35">
      <c r="A45" s="31" t="s">
        <v>1735</v>
      </c>
      <c r="B45" s="31" t="s">
        <v>1723</v>
      </c>
      <c r="C45" s="32">
        <v>51350</v>
      </c>
      <c r="D45" s="32">
        <v>90478</v>
      </c>
      <c r="E45" s="31"/>
      <c r="F45" s="31"/>
    </row>
    <row r="46" spans="1:6" ht="15" customHeight="1" x14ac:dyDescent="0.35">
      <c r="A46" s="31" t="s">
        <v>176</v>
      </c>
      <c r="B46" s="31" t="s">
        <v>1723</v>
      </c>
      <c r="C46" s="32">
        <v>23287</v>
      </c>
      <c r="D46" s="32">
        <v>26753</v>
      </c>
      <c r="E46" s="31"/>
      <c r="F46" s="31"/>
    </row>
    <row r="47" spans="1:6" ht="15" customHeight="1" x14ac:dyDescent="0.35">
      <c r="A47" s="31" t="s">
        <v>1736</v>
      </c>
      <c r="B47" s="31" t="s">
        <v>1729</v>
      </c>
      <c r="C47" s="32">
        <v>18802</v>
      </c>
      <c r="D47" s="32">
        <v>12785</v>
      </c>
      <c r="E47" s="31"/>
      <c r="F47" s="31"/>
    </row>
    <row r="48" spans="1:6" ht="15" customHeight="1" x14ac:dyDescent="0.35">
      <c r="A48" s="31" t="s">
        <v>1737</v>
      </c>
      <c r="B48" s="31" t="s">
        <v>1723</v>
      </c>
      <c r="C48" s="32">
        <v>3268</v>
      </c>
      <c r="D48" s="32">
        <v>2616</v>
      </c>
      <c r="E48" s="31"/>
      <c r="F48" s="31"/>
    </row>
    <row r="49" spans="1:6" ht="15" customHeight="1" x14ac:dyDescent="0.35">
      <c r="A49" s="31" t="s">
        <v>178</v>
      </c>
      <c r="B49" s="31" t="s">
        <v>1727</v>
      </c>
      <c r="C49" s="32">
        <v>101</v>
      </c>
      <c r="D49" s="32">
        <v>37</v>
      </c>
      <c r="E49" s="31"/>
      <c r="F49" s="31"/>
    </row>
    <row r="51" spans="1:6" ht="18" customHeight="1" x14ac:dyDescent="0.35">
      <c r="A51" s="36" t="s">
        <v>1738</v>
      </c>
      <c r="B51" s="36"/>
      <c r="C51" s="36"/>
      <c r="D51" s="36"/>
      <c r="E51" s="36"/>
      <c r="F51" s="36"/>
    </row>
    <row r="52" spans="1:6" ht="25.5" customHeight="1" x14ac:dyDescent="0.35">
      <c r="A52" s="37" t="s">
        <v>1096</v>
      </c>
      <c r="B52" s="37" t="s">
        <v>1739</v>
      </c>
      <c r="C52" s="37" t="s">
        <v>390</v>
      </c>
      <c r="D52" s="37" t="s">
        <v>381</v>
      </c>
      <c r="E52" s="37"/>
      <c r="F52" s="37"/>
    </row>
    <row r="53" spans="1:6" ht="15" customHeight="1" x14ac:dyDescent="0.35">
      <c r="A53" s="31" t="s">
        <v>1740</v>
      </c>
      <c r="B53" s="31" t="s">
        <v>1741</v>
      </c>
      <c r="C53" s="32">
        <v>65230</v>
      </c>
      <c r="D53" s="32">
        <v>38450</v>
      </c>
      <c r="E53" s="31"/>
      <c r="F53" s="31"/>
    </row>
    <row r="54" spans="1:6" ht="15" customHeight="1" x14ac:dyDescent="0.35">
      <c r="A54" s="31" t="s">
        <v>1742</v>
      </c>
      <c r="B54" s="31" t="s">
        <v>1741</v>
      </c>
      <c r="C54" s="32">
        <v>20640</v>
      </c>
      <c r="D54" s="32">
        <v>6197</v>
      </c>
      <c r="E54" s="31"/>
      <c r="F54" s="31"/>
    </row>
    <row r="55" spans="1:6" ht="15" customHeight="1" x14ac:dyDescent="0.35">
      <c r="A55" s="31" t="s">
        <v>1743</v>
      </c>
      <c r="B55" s="31" t="s">
        <v>1744</v>
      </c>
      <c r="C55" s="32">
        <v>42180</v>
      </c>
      <c r="D55" s="32">
        <v>-8230</v>
      </c>
      <c r="E55" s="31"/>
      <c r="F55" s="31"/>
    </row>
    <row r="56" spans="1:6" ht="15" customHeight="1" x14ac:dyDescent="0.35">
      <c r="A56" s="31" t="s">
        <v>1745</v>
      </c>
      <c r="B56" s="31" t="s">
        <v>1744</v>
      </c>
      <c r="C56" s="32">
        <v>41196</v>
      </c>
      <c r="D56" s="32">
        <v>6498</v>
      </c>
      <c r="E56" s="31"/>
      <c r="F56" s="31"/>
    </row>
    <row r="57" spans="1:6" ht="15" customHeight="1" x14ac:dyDescent="0.35">
      <c r="A57" s="31" t="s">
        <v>1746</v>
      </c>
      <c r="B57" s="31" t="s">
        <v>1747</v>
      </c>
      <c r="C57" s="32">
        <v>1844</v>
      </c>
      <c r="D57" s="32">
        <v>0</v>
      </c>
      <c r="E57" s="31"/>
      <c r="F57" s="31"/>
    </row>
    <row r="58" spans="1:6" ht="15" customHeight="1" x14ac:dyDescent="0.35">
      <c r="A58" s="31" t="s">
        <v>1748</v>
      </c>
      <c r="B58" s="31" t="s">
        <v>1749</v>
      </c>
      <c r="C58" s="32">
        <v>800</v>
      </c>
      <c r="D58" s="32">
        <v>1726</v>
      </c>
      <c r="E58" s="31"/>
      <c r="F58" s="31"/>
    </row>
    <row r="59" spans="1:6" x14ac:dyDescent="0.35">
      <c r="D59" s="46"/>
    </row>
    <row r="60" spans="1:6" ht="18" customHeight="1" x14ac:dyDescent="0.35">
      <c r="A60" s="36" t="s">
        <v>1750</v>
      </c>
      <c r="B60" s="36"/>
      <c r="C60" s="36"/>
      <c r="D60" s="36"/>
      <c r="E60" s="36"/>
      <c r="F60" s="36"/>
    </row>
    <row r="61" spans="1:6" ht="25.5" customHeight="1" x14ac:dyDescent="0.35">
      <c r="A61" s="37" t="s">
        <v>1751</v>
      </c>
      <c r="B61" s="37" t="s">
        <v>422</v>
      </c>
      <c r="C61" s="37" t="s">
        <v>1752</v>
      </c>
      <c r="D61" s="37" t="s">
        <v>1753</v>
      </c>
      <c r="E61" s="37" t="s">
        <v>1754</v>
      </c>
      <c r="F61" s="37"/>
    </row>
    <row r="62" spans="1:6" ht="15" customHeight="1" x14ac:dyDescent="0.35">
      <c r="A62" s="31" t="s">
        <v>1167</v>
      </c>
      <c r="B62" s="31" t="s">
        <v>1755</v>
      </c>
      <c r="C62" s="32">
        <v>6549</v>
      </c>
      <c r="D62" s="32">
        <v>57</v>
      </c>
      <c r="E62" s="31" t="s">
        <v>1756</v>
      </c>
      <c r="F62" s="31"/>
    </row>
    <row r="63" spans="1:6" ht="15" customHeight="1" x14ac:dyDescent="0.35">
      <c r="A63" s="31" t="s">
        <v>1757</v>
      </c>
      <c r="B63" s="31" t="s">
        <v>1755</v>
      </c>
      <c r="C63" s="32">
        <v>123980</v>
      </c>
      <c r="D63" s="32">
        <v>96210</v>
      </c>
      <c r="E63" s="31" t="s">
        <v>1758</v>
      </c>
      <c r="F63" s="31"/>
    </row>
    <row r="64" spans="1:6" ht="15" customHeight="1" x14ac:dyDescent="0.35">
      <c r="A64" s="31" t="s">
        <v>1759</v>
      </c>
      <c r="B64" s="31" t="s">
        <v>1755</v>
      </c>
      <c r="C64" s="32">
        <f>149873-104000</f>
        <v>45873</v>
      </c>
      <c r="D64" s="32">
        <v>55232</v>
      </c>
      <c r="E64" s="31" t="s">
        <v>1758</v>
      </c>
      <c r="F64" s="31"/>
    </row>
    <row r="65" spans="1:6" ht="15" customHeight="1" x14ac:dyDescent="0.35">
      <c r="A65" s="31" t="s">
        <v>1760</v>
      </c>
      <c r="B65" s="31" t="s">
        <v>1761</v>
      </c>
      <c r="C65" s="32">
        <v>58230</v>
      </c>
      <c r="D65" s="32">
        <v>32180</v>
      </c>
      <c r="E65" s="31" t="s">
        <v>1758</v>
      </c>
      <c r="F65" s="31"/>
    </row>
    <row r="66" spans="1:6" ht="15" customHeight="1" x14ac:dyDescent="0.35">
      <c r="A66" s="31" t="s">
        <v>1762</v>
      </c>
      <c r="B66" s="31" t="s">
        <v>1763</v>
      </c>
      <c r="C66" s="32">
        <v>17323</v>
      </c>
      <c r="D66" s="32">
        <v>9002</v>
      </c>
      <c r="E66" s="31" t="s">
        <v>1758</v>
      </c>
      <c r="F66" s="31"/>
    </row>
    <row r="67" spans="1:6" x14ac:dyDescent="0.35">
      <c r="C67" s="46"/>
    </row>
    <row r="68" spans="1:6" ht="18" customHeight="1" x14ac:dyDescent="0.35">
      <c r="A68" s="36" t="s">
        <v>1764</v>
      </c>
      <c r="B68" s="36"/>
      <c r="C68" s="36"/>
      <c r="D68" s="36"/>
      <c r="E68" s="36"/>
      <c r="F68" s="36"/>
    </row>
    <row r="69" spans="1:6" ht="25.5" customHeight="1" x14ac:dyDescent="0.35">
      <c r="A69" s="37" t="s">
        <v>1096</v>
      </c>
      <c r="B69" s="37" t="s">
        <v>1765</v>
      </c>
      <c r="C69" s="37" t="s">
        <v>390</v>
      </c>
      <c r="D69" s="37" t="s">
        <v>381</v>
      </c>
      <c r="E69" s="37"/>
      <c r="F69" s="37"/>
    </row>
    <row r="70" spans="1:6" ht="15" customHeight="1" x14ac:dyDescent="0.35">
      <c r="A70" s="31" t="s">
        <v>1766</v>
      </c>
      <c r="B70" s="31" t="s">
        <v>1767</v>
      </c>
      <c r="C70" s="32">
        <v>3219</v>
      </c>
      <c r="D70" s="32">
        <v>68077</v>
      </c>
      <c r="E70" s="31"/>
      <c r="F70" s="31"/>
    </row>
    <row r="71" spans="1:6" ht="15" customHeight="1" x14ac:dyDescent="0.35">
      <c r="A71" s="31" t="s">
        <v>1768</v>
      </c>
      <c r="B71" s="31" t="s">
        <v>1769</v>
      </c>
      <c r="C71" s="32">
        <v>564</v>
      </c>
      <c r="D71" s="32">
        <v>14</v>
      </c>
      <c r="E71" s="31"/>
      <c r="F71" s="31"/>
    </row>
    <row r="72" spans="1:6" ht="15" customHeight="1" x14ac:dyDescent="0.35">
      <c r="A72" s="31" t="s">
        <v>1770</v>
      </c>
      <c r="B72" s="31" t="s">
        <v>1771</v>
      </c>
      <c r="C72" s="32">
        <v>32896</v>
      </c>
      <c r="D72" s="32">
        <v>14442</v>
      </c>
      <c r="E72" s="31"/>
      <c r="F72" s="31"/>
    </row>
    <row r="74" spans="1:6" ht="18" customHeight="1" x14ac:dyDescent="0.35">
      <c r="A74" s="36" t="s">
        <v>1772</v>
      </c>
      <c r="B74" s="36"/>
      <c r="C74" s="36"/>
      <c r="D74" s="36"/>
      <c r="E74" s="36"/>
      <c r="F74" s="36"/>
    </row>
    <row r="75" spans="1:6" ht="25.5" customHeight="1" x14ac:dyDescent="0.35">
      <c r="A75" s="37" t="s">
        <v>1773</v>
      </c>
      <c r="B75" s="37" t="s">
        <v>1774</v>
      </c>
      <c r="C75" s="37" t="s">
        <v>390</v>
      </c>
      <c r="D75" s="37" t="s">
        <v>381</v>
      </c>
      <c r="E75" s="37" t="s">
        <v>1719</v>
      </c>
      <c r="F75" s="37"/>
    </row>
    <row r="76" spans="1:6" ht="15" customHeight="1" x14ac:dyDescent="0.35">
      <c r="A76" s="31" t="s">
        <v>192</v>
      </c>
      <c r="B76" s="31" t="s">
        <v>1775</v>
      </c>
      <c r="C76" s="32">
        <v>106126</v>
      </c>
      <c r="D76" s="32">
        <v>72859</v>
      </c>
      <c r="E76" s="31"/>
      <c r="F76" s="31"/>
    </row>
    <row r="77" spans="1:6" ht="15" customHeight="1" x14ac:dyDescent="0.35">
      <c r="A77" s="31" t="s">
        <v>1776</v>
      </c>
      <c r="B77" s="31" t="s">
        <v>1777</v>
      </c>
      <c r="C77" s="32">
        <v>374131</v>
      </c>
      <c r="D77" s="32">
        <v>342138</v>
      </c>
      <c r="E77" s="31"/>
      <c r="F77" s="31"/>
    </row>
    <row r="78" spans="1:6" ht="15" customHeight="1" x14ac:dyDescent="0.35">
      <c r="A78" s="31" t="s">
        <v>1778</v>
      </c>
      <c r="B78" s="31" t="s">
        <v>1779</v>
      </c>
      <c r="C78" s="32">
        <v>46235</v>
      </c>
      <c r="D78" s="32">
        <v>39351</v>
      </c>
      <c r="E78" s="31"/>
      <c r="F78" s="31"/>
    </row>
    <row r="79" spans="1:6" ht="15" customHeight="1" x14ac:dyDescent="0.35">
      <c r="A79" s="31" t="s">
        <v>1780</v>
      </c>
      <c r="B79" s="31" t="s">
        <v>1781</v>
      </c>
      <c r="C79" s="32">
        <v>83898</v>
      </c>
      <c r="D79" s="32">
        <v>77291</v>
      </c>
      <c r="E79" s="31"/>
      <c r="F79" s="31"/>
    </row>
    <row r="80" spans="1:6" ht="15" customHeight="1" x14ac:dyDescent="0.35">
      <c r="A80" s="31" t="s">
        <v>1782</v>
      </c>
      <c r="B80" s="31" t="s">
        <v>1783</v>
      </c>
      <c r="C80" s="32">
        <v>95187</v>
      </c>
      <c r="D80" s="32">
        <v>53248</v>
      </c>
      <c r="E80" s="31"/>
      <c r="F80" s="31"/>
    </row>
    <row r="81" spans="1:6" ht="15" customHeight="1" x14ac:dyDescent="0.35">
      <c r="A81" s="31" t="s">
        <v>198</v>
      </c>
      <c r="B81" s="31" t="s">
        <v>1784</v>
      </c>
      <c r="C81" s="32">
        <v>35758</v>
      </c>
      <c r="D81" s="32">
        <v>35416</v>
      </c>
      <c r="E81" s="31"/>
      <c r="F81" s="31"/>
    </row>
    <row r="82" spans="1:6" ht="15" customHeight="1" x14ac:dyDescent="0.35">
      <c r="A82" s="31" t="s">
        <v>199</v>
      </c>
      <c r="B82" s="31" t="s">
        <v>1785</v>
      </c>
      <c r="C82" s="32">
        <v>16107</v>
      </c>
      <c r="D82" s="32">
        <v>14235</v>
      </c>
      <c r="E82" s="31"/>
      <c r="F82" s="31"/>
    </row>
    <row r="83" spans="1:6" ht="15" customHeight="1" x14ac:dyDescent="0.35">
      <c r="A83" s="31" t="s">
        <v>1786</v>
      </c>
      <c r="B83" s="31" t="s">
        <v>1787</v>
      </c>
      <c r="C83" s="32">
        <v>52303</v>
      </c>
      <c r="D83" s="32">
        <v>68156</v>
      </c>
      <c r="E83" s="31"/>
      <c r="F83" s="31"/>
    </row>
    <row r="86" spans="1:6" ht="15" customHeight="1" x14ac:dyDescent="0.35">
      <c r="A86" s="31" t="s">
        <v>1788</v>
      </c>
      <c r="B86" s="31" t="s">
        <v>1789</v>
      </c>
      <c r="C86" s="32">
        <v>1261146</v>
      </c>
      <c r="D86" s="32">
        <v>1126100</v>
      </c>
      <c r="E86" s="32"/>
      <c r="F86" s="31"/>
    </row>
    <row r="87" spans="1:6" ht="15" customHeight="1" x14ac:dyDescent="0.35">
      <c r="A87" s="31" t="s">
        <v>1790</v>
      </c>
      <c r="B87" s="31" t="s">
        <v>1791</v>
      </c>
      <c r="C87" s="32">
        <v>60052</v>
      </c>
      <c r="D87" s="32">
        <v>57861</v>
      </c>
      <c r="E87" s="32"/>
      <c r="F87" s="31"/>
    </row>
    <row r="88" spans="1:6" ht="15" customHeight="1" x14ac:dyDescent="0.35">
      <c r="A88" s="31" t="s">
        <v>1792</v>
      </c>
      <c r="B88" s="31" t="s">
        <v>1793</v>
      </c>
      <c r="C88" s="32">
        <v>62697</v>
      </c>
      <c r="D88" s="32">
        <v>59414</v>
      </c>
      <c r="E88" s="31"/>
      <c r="F88" s="31"/>
    </row>
    <row r="89" spans="1:6" ht="15" customHeight="1" x14ac:dyDescent="0.35">
      <c r="A89" s="31" t="s">
        <v>1794</v>
      </c>
      <c r="B89" s="31" t="s">
        <v>1795</v>
      </c>
      <c r="C89" s="32">
        <v>91857</v>
      </c>
      <c r="D89" s="32">
        <v>93543</v>
      </c>
      <c r="E89" s="31"/>
      <c r="F89" s="31"/>
    </row>
    <row r="90" spans="1:6" ht="15" customHeight="1" x14ac:dyDescent="0.35">
      <c r="A90" s="31" t="s">
        <v>1796</v>
      </c>
      <c r="B90" s="31" t="s">
        <v>1797</v>
      </c>
      <c r="C90" s="32">
        <v>23029</v>
      </c>
      <c r="D90" s="32">
        <v>30858</v>
      </c>
      <c r="E90" s="31"/>
      <c r="F90" s="31"/>
    </row>
  </sheetData>
  <mergeCells count="7">
    <mergeCell ref="A74:F74"/>
    <mergeCell ref="A3:F3"/>
    <mergeCell ref="A16:F16"/>
    <mergeCell ref="A30:F30"/>
    <mergeCell ref="A51:F51"/>
    <mergeCell ref="A60:F60"/>
    <mergeCell ref="A68:F68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Trial Balance</vt:lpstr>
      <vt:lpstr>Investment </vt:lpstr>
      <vt:lpstr>FAR - Asset Register</vt:lpstr>
      <vt:lpstr>Financing -net</vt:lpstr>
      <vt:lpstr>Financing - Working</vt:lpstr>
      <vt:lpstr>Note 4</vt:lpstr>
      <vt:lpstr>N5</vt:lpstr>
      <vt:lpstr>N8</vt:lpstr>
      <vt:lpstr>N9</vt:lpstr>
      <vt:lpstr>N11</vt:lpstr>
      <vt:lpstr>N12</vt:lpstr>
      <vt:lpstr>N13</vt:lpstr>
      <vt:lpstr>N14,16,17,18,19</vt:lpstr>
      <vt:lpstr>N15</vt:lpstr>
      <vt:lpstr>Sheet9</vt:lpstr>
      <vt:lpstr>P&amp;L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Sachdeva, Abhishek</cp:lastModifiedBy>
  <cp:revision>0</cp:revision>
  <dcterms:created xsi:type="dcterms:W3CDTF">2026-06-21T16:47:27Z</dcterms:created>
  <dcterms:modified xsi:type="dcterms:W3CDTF">2026-06-23T13:09:50Z</dcterms:modified>
  <dc:language>en-US</dc:language>
</cp:coreProperties>
</file>