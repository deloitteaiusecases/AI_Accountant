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A-IT\Desktop\AI Accountant\"/>
    </mc:Choice>
  </mc:AlternateContent>
  <bookViews>
    <workbookView xWindow="-110" yWindow="-110" windowWidth="19420" windowHeight="10300" activeTab="1"/>
  </bookViews>
  <sheets>
    <sheet name="TB Mapping" sheetId="7" r:id="rId1"/>
    <sheet name="Sheet5" sheetId="5" r:id="rId2"/>
    <sheet name="Sheet4" sheetId="4" r:id="rId3"/>
    <sheet name="Sheet3" sheetId="3" r:id="rId4"/>
    <sheet name="Sheet2" sheetId="2" r:id="rId5"/>
    <sheet name="Sheet1" sheetId="1" r:id="rId6"/>
  </sheets>
  <definedNames>
    <definedName name="_xlnm._FilterDatabase" localSheetId="0" hidden="1">'TB Mapping'!$A$2:$L$87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4" i="7" l="1"/>
  <c r="B5" i="7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</calcChain>
</file>

<file path=xl/sharedStrings.xml><?xml version="1.0" encoding="utf-8"?>
<sst xmlns="http://schemas.openxmlformats.org/spreadsheetml/2006/main" count="372" uniqueCount="108">
  <si>
    <t>Non-Current Assets</t>
  </si>
  <si>
    <t>Property and equipment</t>
  </si>
  <si>
    <t>Intangible assets</t>
  </si>
  <si>
    <t>Right of use assets</t>
  </si>
  <si>
    <t>Investment in joint venture</t>
  </si>
  <si>
    <t>Contract costs</t>
  </si>
  <si>
    <t>Contract assets</t>
  </si>
  <si>
    <t>Financial and other assets</t>
  </si>
  <si>
    <t>Current Assets</t>
  </si>
  <si>
    <t>Inventories</t>
  </si>
  <si>
    <t>Accounts receivable</t>
  </si>
  <si>
    <t>Due from related parties</t>
  </si>
  <si>
    <t>Short term Murabaha</t>
  </si>
  <si>
    <t>Cash and cash equivalents</t>
  </si>
  <si>
    <t>Shareholders' Equity</t>
  </si>
  <si>
    <t>Share capital</t>
  </si>
  <si>
    <t>Statutory reserve</t>
  </si>
  <si>
    <t>Other reserves</t>
  </si>
  <si>
    <t>Retained earnings</t>
  </si>
  <si>
    <t>Non-Current Liabilities</t>
  </si>
  <si>
    <t>Borrowings</t>
  </si>
  <si>
    <t>Lease liabilities</t>
  </si>
  <si>
    <t>Provision for employees' end of service benefits</t>
  </si>
  <si>
    <t>Provision for Decommissioning</t>
  </si>
  <si>
    <t>Contract liabilities</t>
  </si>
  <si>
    <t>Financial and other liabilities</t>
  </si>
  <si>
    <t>Current Liabilities</t>
  </si>
  <si>
    <t>Accounts payable</t>
  </si>
  <si>
    <t>Due to related parties</t>
  </si>
  <si>
    <t>Accrued expenses</t>
  </si>
  <si>
    <t>Provisions</t>
  </si>
  <si>
    <t>Zakat and income tax</t>
  </si>
  <si>
    <t>31 Dec 2024 (SAR 000s)</t>
  </si>
  <si>
    <t>31 Dec 2023 (SAR 000s)</t>
  </si>
  <si>
    <t>Revenue</t>
  </si>
  <si>
    <t>Cost of revenue</t>
  </si>
  <si>
    <t>Operating Expenses</t>
  </si>
  <si>
    <t>Selling and marketing expenses</t>
  </si>
  <si>
    <t>General and administrative expenses</t>
  </si>
  <si>
    <t>Impairment on accounts receivable and contract assets</t>
  </si>
  <si>
    <t>Depreciation and amortization</t>
  </si>
  <si>
    <t>Other Income and Expenses</t>
  </si>
  <si>
    <t>Share in profit of joint venture</t>
  </si>
  <si>
    <t>Finance income</t>
  </si>
  <si>
    <t>Finance costs</t>
  </si>
  <si>
    <t>Other income / (expenses), net</t>
  </si>
  <si>
    <t>L0</t>
  </si>
  <si>
    <t>L1</t>
  </si>
  <si>
    <t>L2</t>
  </si>
  <si>
    <t>L3</t>
  </si>
  <si>
    <t>Equity</t>
  </si>
  <si>
    <t>Liabilities</t>
  </si>
  <si>
    <t>Assets</t>
  </si>
  <si>
    <t>L4</t>
  </si>
  <si>
    <t>Actuarial remeasurement of employees' end of service benefits</t>
  </si>
  <si>
    <t>Change in fair value of equity investments</t>
  </si>
  <si>
    <t>Exchange differences on translation of foreign operations</t>
  </si>
  <si>
    <t>Cash flow hedge – change in fair value</t>
  </si>
  <si>
    <t>Cash flow hedge – reclassified to profit or loss</t>
  </si>
  <si>
    <t>Telecom network equipment</t>
  </si>
  <si>
    <t>Land and buildings</t>
  </si>
  <si>
    <t>Computer equipment and software equipment</t>
  </si>
  <si>
    <t>Other assets</t>
  </si>
  <si>
    <t>Capital work in progress</t>
  </si>
  <si>
    <t>Acc Dep - Land and buildings</t>
  </si>
  <si>
    <t>Acc Dep - Telecom network equipment</t>
  </si>
  <si>
    <t>Acc Dep - Computer equipment and software equipment</t>
  </si>
  <si>
    <t>Acc Dep - Other assets</t>
  </si>
  <si>
    <t>Acc Dep - Capital work in progress</t>
  </si>
  <si>
    <t>Telecommunication services licenses</t>
  </si>
  <si>
    <t>Goodwill</t>
  </si>
  <si>
    <t>Indefeasible Right of Use (IRU)</t>
  </si>
  <si>
    <t>Others</t>
  </si>
  <si>
    <t>Acc Dep - Telecommunication services licenses</t>
  </si>
  <si>
    <t>Acc Dep - Goodwill</t>
  </si>
  <si>
    <t>Acc Dep - Indefeasible Right of Use (IRU)</t>
  </si>
  <si>
    <t>Acc Dep - Others</t>
  </si>
  <si>
    <t>Telecommunication network equipment</t>
  </si>
  <si>
    <t>Costs to obtain the contracts</t>
  </si>
  <si>
    <t>Costs to fulfil the contracts</t>
  </si>
  <si>
    <t>Linked</t>
  </si>
  <si>
    <t>Contract Assets</t>
  </si>
  <si>
    <t>Less: allowance for impairment loss on contract assets</t>
  </si>
  <si>
    <t>Restricted cash</t>
  </si>
  <si>
    <t>Accrued income</t>
  </si>
  <si>
    <t>Derivatives financial instruments</t>
  </si>
  <si>
    <t>Equity investments at fair value through other comprehensive income</t>
  </si>
  <si>
    <t>Financial assets</t>
  </si>
  <si>
    <t>Linked (partly)</t>
  </si>
  <si>
    <t>Capital advances</t>
  </si>
  <si>
    <t>Advance payments</t>
  </si>
  <si>
    <t>Prepaid expenses</t>
  </si>
  <si>
    <t>Handsets and equipment</t>
  </si>
  <si>
    <t>SIM cards</t>
  </si>
  <si>
    <t>Prepaid vouchers and scratch cards</t>
  </si>
  <si>
    <t>Less: provision for inventory obsolescence</t>
  </si>
  <si>
    <t>Less: allowance for impairment loss on accounts receivable</t>
  </si>
  <si>
    <t>L5</t>
  </si>
  <si>
    <t>Founding shareholder and its Associates &amp; Subsidiaries</t>
  </si>
  <si>
    <t>Joint venture</t>
  </si>
  <si>
    <t>Cash on hand</t>
  </si>
  <si>
    <t>Cash at banks</t>
  </si>
  <si>
    <t>Short-term murabaha</t>
  </si>
  <si>
    <t xml:space="preserve">GL Number </t>
  </si>
  <si>
    <t>(unique key)</t>
  </si>
  <si>
    <t>Equity - Current Year</t>
  </si>
  <si>
    <t>Current year P&amp;L</t>
  </si>
  <si>
    <t>Current year OCI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</si>
</sst>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7"/>
      <color rgb="FF0D0D0D"/>
      <name val="Arial"/>
      <family val="2"/>
    </font>
    <font>
      <b/>
      <i/>
      <sz val="8"/>
      <color theme="1"/>
      <name val="Calibri"/>
      <family val="2"/>
      <scheme val="minor"/>
    </font>
    <font>
      <i/>
      <sz val="8"/>
      <color rgb="FF00B05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FCFC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E6E6E6"/>
      </bottom>
      <diagonal/>
    </border>
    <border>
      <left style="medium">
        <color rgb="FFE6E6E6"/>
      </left>
      <right/>
      <top style="medium">
        <color rgb="FFE6E6E6"/>
      </top>
      <bottom style="medium">
        <color rgb="FFE6E6E6"/>
      </bottom>
      <diagonal/>
    </border>
    <border>
      <left/>
      <right/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/>
      <top/>
      <bottom style="medium">
        <color rgb="FFE6E6E6"/>
      </bottom>
      <diagonal/>
    </border>
    <border>
      <left/>
      <right style="medium">
        <color rgb="FFE6E6E6"/>
      </right>
      <top/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vertical="top"/>
    </xf>
    <xf numFmtId="164" fontId="0" fillId="0" borderId="0" xfId="1" applyNumberFormat="1" applyFont="1" applyAlignment="1">
      <alignment vertical="top"/>
    </xf>
    <xf numFmtId="164" fontId="0" fillId="0" borderId="0" xfId="0" applyNumberFormat="1" applyAlignment="1">
      <alignment vertical="top"/>
    </xf>
    <xf numFmtId="0" fontId="0" fillId="3" borderId="0" xfId="0" applyFill="1" applyAlignment="1">
      <alignment vertical="top"/>
    </xf>
    <xf numFmtId="164" fontId="0" fillId="3" borderId="0" xfId="1" applyNumberFormat="1" applyFont="1" applyFill="1" applyAlignment="1">
      <alignment vertical="top"/>
    </xf>
    <xf numFmtId="164" fontId="0" fillId="4" borderId="0" xfId="1" applyNumberFormat="1" applyFont="1" applyFill="1" applyAlignment="1">
      <alignment horizontal="center" vertical="top" wrapText="1"/>
    </xf>
    <xf numFmtId="0" fontId="0" fillId="4" borderId="0" xfId="0" applyFill="1" applyAlignment="1">
      <alignment horizontal="center" vertical="top"/>
    </xf>
    <xf numFmtId="0" fontId="0" fillId="0" borderId="0" xfId="0" applyAlignment="1">
      <alignment horizontal="center" vertical="top"/>
    </xf>
    <xf numFmtId="3" fontId="2" fillId="5" borderId="1" xfId="0" applyNumberFormat="1" applyFont="1" applyFill="1" applyBorder="1" applyAlignment="1">
      <alignment vertical="center" wrapText="1"/>
    </xf>
    <xf numFmtId="3" fontId="2" fillId="5" borderId="5" xfId="0" applyNumberFormat="1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0" fillId="2" borderId="0" xfId="0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2" fillId="6" borderId="1" xfId="0" applyFont="1" applyFill="1" applyBorder="1" applyAlignment="1">
      <alignment vertical="center" wrapText="1"/>
    </xf>
    <xf numFmtId="3" fontId="2" fillId="6" borderId="1" xfId="0" applyNumberFormat="1" applyFont="1" applyFill="1" applyBorder="1" applyAlignment="1">
      <alignment vertical="center" wrapText="1"/>
    </xf>
    <xf numFmtId="0" fontId="2" fillId="5" borderId="2" xfId="0" applyFont="1" applyFill="1" applyBorder="1" applyAlignment="1">
      <alignment vertical="center" wrapText="1"/>
    </xf>
    <xf numFmtId="3" fontId="2" fillId="5" borderId="3" xfId="0" applyNumberFormat="1" applyFont="1" applyFill="1" applyBorder="1" applyAlignment="1">
      <alignment vertical="center" wrapText="1"/>
    </xf>
    <xf numFmtId="3" fontId="2" fillId="5" borderId="6" xfId="0" applyNumberFormat="1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3" fontId="2" fillId="6" borderId="5" xfId="0" applyNumberFormat="1" applyFont="1" applyFill="1" applyBorder="1" applyAlignment="1">
      <alignment vertical="center" wrapText="1"/>
    </xf>
    <xf numFmtId="0" fontId="2" fillId="5" borderId="4" xfId="0" applyFont="1" applyFill="1" applyBorder="1" applyAlignment="1">
      <alignment vertical="center" wrapText="1"/>
    </xf>
    <xf numFmtId="0" fontId="2" fillId="5" borderId="5" xfId="0" applyFont="1" applyFill="1" applyBorder="1" applyAlignment="1">
      <alignment vertical="center" wrapText="1"/>
    </xf>
    <xf numFmtId="0" fontId="2" fillId="6" borderId="5" xfId="0" applyFont="1" applyFill="1" applyBorder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7"/>
  <sheetViews>
    <sheetView topLeftCell="B1" zoomScale="91" workbookViewId="0">
      <pane ySplit="2" topLeftCell="A69" activePane="bottomLeft" state="frozen"/>
      <selection pane="bottomLeft" activeCell="H87" sqref="H83:H87"/>
    </sheetView>
  </sheetViews>
  <sheetFormatPr defaultRowHeight="14.5" x14ac:dyDescent="0.35"/>
  <cols>
    <col min="1" max="1" width="8.7265625" style="1"/>
    <col min="2" max="2" width="21.26953125" style="12" bestFit="1" customWidth="1"/>
    <col min="3" max="4" width="8.7265625" style="1"/>
    <col min="5" max="6" width="13.6328125" style="2" bestFit="1" customWidth="1"/>
    <col min="7" max="7" width="18.54296875" style="1" bestFit="1" customWidth="1"/>
    <col min="8" max="8" width="28.1796875" style="1" bestFit="1" customWidth="1"/>
    <col min="9" max="9" width="23.36328125" style="1" customWidth="1"/>
    <col min="10" max="11" width="40.81640625" style="1" bestFit="1" customWidth="1"/>
    <col min="12" max="12" width="14.26953125" style="1" customWidth="1"/>
    <col min="13" max="16384" width="8.7265625" style="1"/>
  </cols>
  <sheetData>
    <row r="1" spans="2:12" x14ac:dyDescent="0.35">
      <c r="B1" s="14" t="s">
        <v>104</v>
      </c>
      <c r="E1" s="14" t="s">
        <v>80</v>
      </c>
      <c r="F1" s="14" t="s">
        <v>80</v>
      </c>
      <c r="G1" s="13"/>
      <c r="H1" s="14" t="s">
        <v>80</v>
      </c>
      <c r="I1" s="14" t="s">
        <v>80</v>
      </c>
      <c r="J1" s="14" t="s">
        <v>80</v>
      </c>
      <c r="K1" s="14" t="s">
        <v>88</v>
      </c>
    </row>
    <row r="2" spans="2:12" s="8" customFormat="1" ht="29" x14ac:dyDescent="0.35">
      <c r="B2" s="7" t="s">
        <v>103</v>
      </c>
      <c r="C2" s="7"/>
      <c r="D2" s="7"/>
      <c r="E2" s="6" t="s">
        <v>32</v>
      </c>
      <c r="F2" s="6" t="s">
        <v>33</v>
      </c>
      <c r="G2" s="7" t="s">
        <v>46</v>
      </c>
      <c r="H2" s="7" t="s">
        <v>47</v>
      </c>
      <c r="I2" s="7" t="s">
        <v>48</v>
      </c>
      <c r="J2" s="7" t="s">
        <v>49</v>
      </c>
      <c r="K2" s="7" t="s">
        <v>53</v>
      </c>
      <c r="L2" s="7" t="s">
        <v>97</v>
      </c>
    </row>
    <row r="4" spans="2:12" x14ac:dyDescent="0.35">
      <c r="B4" s="12">
        <v>1</v>
      </c>
      <c r="E4" s="2">
        <v>1476098</v>
      </c>
      <c r="F4" s="2">
        <v>1480978</v>
      </c>
      <c r="G4" s="1" t="s">
        <v>52</v>
      </c>
      <c r="H4" s="1" t="s">
        <v>0</v>
      </c>
      <c r="I4" s="1" t="s">
        <v>1</v>
      </c>
      <c r="J4" s="1" t="s">
        <v>60</v>
      </c>
      <c r="K4" s="1" t="s">
        <v>60</v>
      </c>
    </row>
    <row r="5" spans="2:12" x14ac:dyDescent="0.35">
      <c r="B5" s="12">
        <f>B4+1</f>
        <v>2</v>
      </c>
      <c r="E5" s="2">
        <v>46450744</v>
      </c>
      <c r="F5" s="2">
        <v>44862990</v>
      </c>
      <c r="G5" s="1" t="s">
        <v>52</v>
      </c>
      <c r="H5" s="1" t="s">
        <v>0</v>
      </c>
      <c r="I5" s="1" t="s">
        <v>1</v>
      </c>
      <c r="J5" s="1" t="s">
        <v>59</v>
      </c>
      <c r="K5" s="1" t="s">
        <v>59</v>
      </c>
    </row>
    <row r="6" spans="2:12" x14ac:dyDescent="0.35">
      <c r="B6" s="12">
        <f t="shared" ref="B6:B84" si="0">B5+1</f>
        <v>3</v>
      </c>
      <c r="E6" s="2">
        <v>6416237</v>
      </c>
      <c r="F6" s="2">
        <v>6013427</v>
      </c>
      <c r="G6" s="1" t="s">
        <v>52</v>
      </c>
      <c r="H6" s="1" t="s">
        <v>0</v>
      </c>
      <c r="I6" s="1" t="s">
        <v>1</v>
      </c>
      <c r="J6" s="1" t="s">
        <v>61</v>
      </c>
      <c r="K6" s="1" t="s">
        <v>61</v>
      </c>
    </row>
    <row r="7" spans="2:12" x14ac:dyDescent="0.35">
      <c r="B7" s="12">
        <f t="shared" si="0"/>
        <v>4</v>
      </c>
      <c r="E7" s="2">
        <v>1269184</v>
      </c>
      <c r="F7" s="2">
        <v>1269891</v>
      </c>
      <c r="G7" s="1" t="s">
        <v>52</v>
      </c>
      <c r="H7" s="1" t="s">
        <v>0</v>
      </c>
      <c r="I7" s="1" t="s">
        <v>1</v>
      </c>
      <c r="J7" s="1" t="s">
        <v>62</v>
      </c>
      <c r="K7" s="1" t="s">
        <v>62</v>
      </c>
    </row>
    <row r="8" spans="2:12" x14ac:dyDescent="0.35">
      <c r="B8" s="12">
        <f t="shared" si="0"/>
        <v>5</v>
      </c>
      <c r="E8" s="2">
        <v>712745</v>
      </c>
      <c r="F8" s="2">
        <v>284981</v>
      </c>
      <c r="G8" s="1" t="s">
        <v>52</v>
      </c>
      <c r="H8" s="1" t="s">
        <v>0</v>
      </c>
      <c r="I8" s="1" t="s">
        <v>1</v>
      </c>
      <c r="J8" s="1" t="s">
        <v>63</v>
      </c>
      <c r="K8" s="1" t="s">
        <v>63</v>
      </c>
    </row>
    <row r="9" spans="2:12" x14ac:dyDescent="0.35">
      <c r="B9" s="12">
        <f t="shared" si="0"/>
        <v>6</v>
      </c>
      <c r="E9" s="2">
        <v>-564681</v>
      </c>
      <c r="F9" s="2">
        <v>-541814</v>
      </c>
      <c r="G9" s="1" t="s">
        <v>52</v>
      </c>
      <c r="H9" s="1" t="s">
        <v>0</v>
      </c>
      <c r="I9" s="1" t="s">
        <v>1</v>
      </c>
      <c r="J9" s="1" t="s">
        <v>60</v>
      </c>
      <c r="K9" s="1" t="s">
        <v>64</v>
      </c>
    </row>
    <row r="10" spans="2:12" x14ac:dyDescent="0.35">
      <c r="B10" s="12">
        <f t="shared" si="0"/>
        <v>7</v>
      </c>
      <c r="E10" s="2">
        <v>-30824526</v>
      </c>
      <c r="F10" s="2">
        <v>-28551344</v>
      </c>
      <c r="G10" s="1" t="s">
        <v>52</v>
      </c>
      <c r="H10" s="1" t="s">
        <v>0</v>
      </c>
      <c r="I10" s="1" t="s">
        <v>1</v>
      </c>
      <c r="J10" s="1" t="s">
        <v>59</v>
      </c>
      <c r="K10" s="1" t="s">
        <v>65</v>
      </c>
    </row>
    <row r="11" spans="2:12" x14ac:dyDescent="0.35">
      <c r="B11" s="12">
        <f t="shared" si="0"/>
        <v>8</v>
      </c>
      <c r="E11" s="2">
        <v>-4988013</v>
      </c>
      <c r="F11" s="2">
        <v>-4716120</v>
      </c>
      <c r="G11" s="1" t="s">
        <v>52</v>
      </c>
      <c r="H11" s="1" t="s">
        <v>0</v>
      </c>
      <c r="I11" s="1" t="s">
        <v>1</v>
      </c>
      <c r="J11" s="1" t="s">
        <v>61</v>
      </c>
      <c r="K11" s="1" t="s">
        <v>66</v>
      </c>
    </row>
    <row r="12" spans="2:12" x14ac:dyDescent="0.35">
      <c r="B12" s="12">
        <f t="shared" si="0"/>
        <v>9</v>
      </c>
      <c r="E12" s="2">
        <v>-1096756</v>
      </c>
      <c r="F12" s="2">
        <v>-1091018</v>
      </c>
      <c r="G12" s="1" t="s">
        <v>52</v>
      </c>
      <c r="H12" s="1" t="s">
        <v>0</v>
      </c>
      <c r="I12" s="1" t="s">
        <v>1</v>
      </c>
      <c r="J12" s="1" t="s">
        <v>62</v>
      </c>
      <c r="K12" s="1" t="s">
        <v>67</v>
      </c>
    </row>
    <row r="13" spans="2:12" x14ac:dyDescent="0.35">
      <c r="B13" s="12">
        <f t="shared" si="0"/>
        <v>10</v>
      </c>
      <c r="E13" s="2">
        <v>0</v>
      </c>
      <c r="F13" s="2">
        <v>0</v>
      </c>
      <c r="G13" s="1" t="s">
        <v>52</v>
      </c>
      <c r="H13" s="1" t="s">
        <v>0</v>
      </c>
      <c r="I13" s="1" t="s">
        <v>1</v>
      </c>
      <c r="J13" s="1" t="s">
        <v>63</v>
      </c>
      <c r="K13" s="1" t="s">
        <v>68</v>
      </c>
    </row>
    <row r="14" spans="2:12" x14ac:dyDescent="0.35">
      <c r="B14" s="12">
        <f t="shared" si="0"/>
        <v>11</v>
      </c>
      <c r="E14" s="2">
        <v>13586350</v>
      </c>
      <c r="F14" s="2">
        <v>13586350</v>
      </c>
      <c r="G14" s="1" t="s">
        <v>52</v>
      </c>
      <c r="H14" s="1" t="s">
        <v>0</v>
      </c>
      <c r="I14" s="1" t="s">
        <v>2</v>
      </c>
      <c r="J14" s="1" t="s">
        <v>69</v>
      </c>
      <c r="K14" s="1" t="s">
        <v>69</v>
      </c>
    </row>
    <row r="15" spans="2:12" x14ac:dyDescent="0.35">
      <c r="B15" s="12">
        <f t="shared" si="0"/>
        <v>12</v>
      </c>
      <c r="E15" s="2">
        <v>1466865</v>
      </c>
      <c r="F15" s="2">
        <v>1466865</v>
      </c>
      <c r="G15" s="1" t="s">
        <v>52</v>
      </c>
      <c r="H15" s="1" t="s">
        <v>0</v>
      </c>
      <c r="I15" s="1" t="s">
        <v>2</v>
      </c>
      <c r="J15" s="1" t="s">
        <v>70</v>
      </c>
      <c r="K15" s="1" t="s">
        <v>70</v>
      </c>
    </row>
    <row r="16" spans="2:12" x14ac:dyDescent="0.35">
      <c r="B16" s="12">
        <f t="shared" si="0"/>
        <v>13</v>
      </c>
      <c r="E16" s="2">
        <v>1448798</v>
      </c>
      <c r="F16" s="2">
        <v>1405207</v>
      </c>
      <c r="G16" s="1" t="s">
        <v>52</v>
      </c>
      <c r="H16" s="1" t="s">
        <v>0</v>
      </c>
      <c r="I16" s="1" t="s">
        <v>2</v>
      </c>
      <c r="J16" s="1" t="s">
        <v>71</v>
      </c>
      <c r="K16" s="1" t="s">
        <v>71</v>
      </c>
    </row>
    <row r="17" spans="2:11" x14ac:dyDescent="0.35">
      <c r="B17" s="12">
        <f t="shared" si="0"/>
        <v>14</v>
      </c>
      <c r="E17" s="2">
        <v>107172</v>
      </c>
      <c r="F17" s="2">
        <v>107172</v>
      </c>
      <c r="G17" s="1" t="s">
        <v>52</v>
      </c>
      <c r="H17" s="1" t="s">
        <v>0</v>
      </c>
      <c r="I17" s="1" t="s">
        <v>2</v>
      </c>
      <c r="J17" s="1" t="s">
        <v>72</v>
      </c>
      <c r="K17" s="1" t="s">
        <v>72</v>
      </c>
    </row>
    <row r="18" spans="2:11" x14ac:dyDescent="0.35">
      <c r="B18" s="12">
        <f t="shared" si="0"/>
        <v>15</v>
      </c>
      <c r="E18" s="2">
        <v>-8518116</v>
      </c>
      <c r="F18" s="2">
        <v>-8229057</v>
      </c>
      <c r="G18" s="1" t="s">
        <v>52</v>
      </c>
      <c r="H18" s="1" t="s">
        <v>0</v>
      </c>
      <c r="I18" s="1" t="s">
        <v>2</v>
      </c>
      <c r="J18" s="1" t="s">
        <v>69</v>
      </c>
      <c r="K18" s="1" t="s">
        <v>73</v>
      </c>
    </row>
    <row r="19" spans="2:11" x14ac:dyDescent="0.35">
      <c r="B19" s="12">
        <f t="shared" si="0"/>
        <v>16</v>
      </c>
      <c r="E19" s="2">
        <v>0</v>
      </c>
      <c r="F19" s="2">
        <v>0</v>
      </c>
      <c r="G19" s="1" t="s">
        <v>52</v>
      </c>
      <c r="H19" s="1" t="s">
        <v>0</v>
      </c>
      <c r="I19" s="1" t="s">
        <v>2</v>
      </c>
      <c r="J19" s="1" t="s">
        <v>70</v>
      </c>
      <c r="K19" s="1" t="s">
        <v>74</v>
      </c>
    </row>
    <row r="20" spans="2:11" x14ac:dyDescent="0.35">
      <c r="B20" s="12">
        <f t="shared" si="0"/>
        <v>17</v>
      </c>
      <c r="E20" s="2">
        <v>-993641</v>
      </c>
      <c r="F20" s="2">
        <v>-921786</v>
      </c>
      <c r="G20" s="1" t="s">
        <v>52</v>
      </c>
      <c r="H20" s="1" t="s">
        <v>0</v>
      </c>
      <c r="I20" s="1" t="s">
        <v>2</v>
      </c>
      <c r="J20" s="1" t="s">
        <v>71</v>
      </c>
      <c r="K20" s="1" t="s">
        <v>75</v>
      </c>
    </row>
    <row r="21" spans="2:11" x14ac:dyDescent="0.35">
      <c r="B21" s="12">
        <f t="shared" si="0"/>
        <v>18</v>
      </c>
      <c r="E21" s="2">
        <v>-99758</v>
      </c>
      <c r="F21" s="2">
        <v>-98809</v>
      </c>
      <c r="G21" s="1" t="s">
        <v>52</v>
      </c>
      <c r="H21" s="1" t="s">
        <v>0</v>
      </c>
      <c r="I21" s="1" t="s">
        <v>2</v>
      </c>
      <c r="J21" s="1" t="s">
        <v>72</v>
      </c>
      <c r="K21" s="1" t="s">
        <v>76</v>
      </c>
    </row>
    <row r="22" spans="2:11" x14ac:dyDescent="0.35">
      <c r="B22" s="12">
        <f t="shared" si="0"/>
        <v>19</v>
      </c>
      <c r="E22" s="2">
        <v>2349058</v>
      </c>
      <c r="F22" s="2">
        <v>2360781</v>
      </c>
      <c r="G22" s="1" t="s">
        <v>52</v>
      </c>
      <c r="H22" s="1" t="s">
        <v>0</v>
      </c>
      <c r="I22" s="1" t="s">
        <v>3</v>
      </c>
      <c r="J22" s="1" t="s">
        <v>77</v>
      </c>
      <c r="K22" s="1" t="s">
        <v>77</v>
      </c>
    </row>
    <row r="23" spans="2:11" x14ac:dyDescent="0.35">
      <c r="B23" s="12">
        <f t="shared" si="0"/>
        <v>20</v>
      </c>
      <c r="E23" s="2">
        <v>369734</v>
      </c>
      <c r="F23" s="2">
        <v>369129</v>
      </c>
      <c r="G23" s="1" t="s">
        <v>52</v>
      </c>
      <c r="H23" s="1" t="s">
        <v>0</v>
      </c>
      <c r="I23" s="1" t="s">
        <v>3</v>
      </c>
      <c r="J23" s="1" t="s">
        <v>60</v>
      </c>
      <c r="K23" s="1" t="s">
        <v>60</v>
      </c>
    </row>
    <row r="24" spans="2:11" x14ac:dyDescent="0.35">
      <c r="B24" s="12">
        <f t="shared" si="0"/>
        <v>21</v>
      </c>
      <c r="E24" s="2">
        <v>52420</v>
      </c>
      <c r="F24" s="2">
        <v>11152</v>
      </c>
      <c r="G24" s="1" t="s">
        <v>52</v>
      </c>
      <c r="H24" s="1" t="s">
        <v>0</v>
      </c>
      <c r="I24" s="1" t="s">
        <v>4</v>
      </c>
      <c r="J24" s="1" t="s">
        <v>4</v>
      </c>
      <c r="K24" s="1" t="s">
        <v>4</v>
      </c>
    </row>
    <row r="25" spans="2:11" x14ac:dyDescent="0.35">
      <c r="B25" s="12">
        <f t="shared" si="0"/>
        <v>22</v>
      </c>
      <c r="E25" s="2">
        <v>186510</v>
      </c>
      <c r="F25" s="2">
        <v>277508</v>
      </c>
      <c r="G25" s="1" t="s">
        <v>52</v>
      </c>
      <c r="H25" s="1" t="s">
        <v>0</v>
      </c>
      <c r="I25" s="1" t="s">
        <v>5</v>
      </c>
      <c r="J25" s="1" t="s">
        <v>78</v>
      </c>
      <c r="K25" s="1" t="s">
        <v>78</v>
      </c>
    </row>
    <row r="26" spans="2:11" x14ac:dyDescent="0.35">
      <c r="B26" s="12">
        <f t="shared" si="0"/>
        <v>23</v>
      </c>
      <c r="E26" s="2">
        <v>177708</v>
      </c>
      <c r="F26" s="2">
        <v>246272</v>
      </c>
      <c r="G26" s="1" t="s">
        <v>52</v>
      </c>
      <c r="H26" s="1" t="s">
        <v>0</v>
      </c>
      <c r="I26" s="1" t="s">
        <v>5</v>
      </c>
      <c r="J26" s="1" t="s">
        <v>79</v>
      </c>
      <c r="K26" s="1" t="s">
        <v>79</v>
      </c>
    </row>
    <row r="27" spans="2:11" x14ac:dyDescent="0.35">
      <c r="B27" s="12">
        <f t="shared" si="0"/>
        <v>24</v>
      </c>
      <c r="E27" s="2">
        <v>1124222</v>
      </c>
      <c r="F27" s="2">
        <v>1059506</v>
      </c>
      <c r="G27" s="1" t="s">
        <v>52</v>
      </c>
      <c r="H27" s="1" t="s">
        <v>0</v>
      </c>
      <c r="I27" s="1" t="s">
        <v>6</v>
      </c>
      <c r="J27" s="1" t="s">
        <v>81</v>
      </c>
      <c r="K27" s="1" t="s">
        <v>81</v>
      </c>
    </row>
    <row r="28" spans="2:11" x14ac:dyDescent="0.35">
      <c r="B28" s="12">
        <f t="shared" si="0"/>
        <v>25</v>
      </c>
      <c r="E28" s="2">
        <v>-30768</v>
      </c>
      <c r="F28" s="2">
        <v>-26724</v>
      </c>
      <c r="G28" s="1" t="s">
        <v>52</v>
      </c>
      <c r="H28" s="1" t="s">
        <v>0</v>
      </c>
      <c r="I28" s="1" t="s">
        <v>6</v>
      </c>
      <c r="J28" s="1" t="s">
        <v>82</v>
      </c>
      <c r="K28" s="1" t="s">
        <v>82</v>
      </c>
    </row>
    <row r="29" spans="2:11" x14ac:dyDescent="0.35">
      <c r="B29" s="12">
        <f t="shared" si="0"/>
        <v>26</v>
      </c>
      <c r="E29" s="2">
        <v>250071</v>
      </c>
      <c r="F29" s="2">
        <v>119075</v>
      </c>
      <c r="G29" s="1" t="s">
        <v>52</v>
      </c>
      <c r="H29" s="1" t="s">
        <v>0</v>
      </c>
      <c r="I29" s="1" t="s">
        <v>7</v>
      </c>
      <c r="J29" s="1" t="s">
        <v>87</v>
      </c>
      <c r="K29" s="1" t="s">
        <v>83</v>
      </c>
    </row>
    <row r="30" spans="2:11" x14ac:dyDescent="0.35">
      <c r="B30" s="12">
        <f t="shared" si="0"/>
        <v>27</v>
      </c>
      <c r="E30" s="2">
        <v>26366</v>
      </c>
      <c r="F30" s="2">
        <v>56889</v>
      </c>
      <c r="G30" s="1" t="s">
        <v>52</v>
      </c>
      <c r="H30" s="1" t="s">
        <v>0</v>
      </c>
      <c r="I30" s="1" t="s">
        <v>7</v>
      </c>
      <c r="J30" s="1" t="s">
        <v>87</v>
      </c>
      <c r="K30" s="1" t="s">
        <v>84</v>
      </c>
    </row>
    <row r="31" spans="2:11" x14ac:dyDescent="0.35">
      <c r="B31" s="12">
        <f t="shared" si="0"/>
        <v>28</v>
      </c>
      <c r="E31" s="2">
        <v>12576</v>
      </c>
      <c r="F31" s="2">
        <v>76021</v>
      </c>
      <c r="G31" s="1" t="s">
        <v>52</v>
      </c>
      <c r="H31" s="1" t="s">
        <v>0</v>
      </c>
      <c r="I31" s="1" t="s">
        <v>7</v>
      </c>
      <c r="J31" s="1" t="s">
        <v>87</v>
      </c>
      <c r="K31" s="1" t="s">
        <v>85</v>
      </c>
    </row>
    <row r="32" spans="2:11" x14ac:dyDescent="0.35">
      <c r="B32" s="12">
        <f t="shared" si="0"/>
        <v>29</v>
      </c>
      <c r="E32" s="2">
        <v>4062</v>
      </c>
      <c r="F32" s="2">
        <v>6839</v>
      </c>
      <c r="G32" s="1" t="s">
        <v>52</v>
      </c>
      <c r="H32" s="1" t="s">
        <v>0</v>
      </c>
      <c r="I32" s="1" t="s">
        <v>7</v>
      </c>
      <c r="J32" s="1" t="s">
        <v>87</v>
      </c>
      <c r="K32" s="1" t="s">
        <v>86</v>
      </c>
    </row>
    <row r="33" spans="2:11" x14ac:dyDescent="0.35">
      <c r="B33" s="12">
        <f t="shared" si="0"/>
        <v>30</v>
      </c>
      <c r="E33" s="2">
        <v>119670</v>
      </c>
      <c r="F33" s="2">
        <v>166712</v>
      </c>
      <c r="G33" s="1" t="s">
        <v>52</v>
      </c>
      <c r="H33" s="1" t="s">
        <v>0</v>
      </c>
      <c r="I33" s="1" t="s">
        <v>7</v>
      </c>
      <c r="J33" s="1" t="s">
        <v>87</v>
      </c>
      <c r="K33" s="1" t="s">
        <v>72</v>
      </c>
    </row>
    <row r="34" spans="2:11" x14ac:dyDescent="0.35">
      <c r="B34" s="12">
        <f t="shared" si="0"/>
        <v>31</v>
      </c>
      <c r="E34" s="2">
        <v>300660</v>
      </c>
      <c r="F34" s="2">
        <v>67517</v>
      </c>
      <c r="G34" s="1" t="s">
        <v>52</v>
      </c>
      <c r="H34" s="1" t="s">
        <v>0</v>
      </c>
      <c r="I34" s="1" t="s">
        <v>7</v>
      </c>
      <c r="J34" s="1" t="s">
        <v>62</v>
      </c>
      <c r="K34" s="1" t="s">
        <v>89</v>
      </c>
    </row>
    <row r="35" spans="2:11" x14ac:dyDescent="0.35">
      <c r="B35" s="12">
        <f t="shared" si="0"/>
        <v>32</v>
      </c>
      <c r="E35" s="2">
        <v>91665</v>
      </c>
      <c r="F35" s="2">
        <v>122513</v>
      </c>
      <c r="G35" s="1" t="s">
        <v>52</v>
      </c>
      <c r="H35" s="1" t="s">
        <v>0</v>
      </c>
      <c r="I35" s="1" t="s">
        <v>7</v>
      </c>
      <c r="J35" s="1" t="s">
        <v>62</v>
      </c>
      <c r="K35" s="1" t="s">
        <v>90</v>
      </c>
    </row>
    <row r="36" spans="2:11" x14ac:dyDescent="0.35">
      <c r="B36" s="12">
        <f t="shared" si="0"/>
        <v>33</v>
      </c>
      <c r="E36" s="2">
        <v>58528</v>
      </c>
      <c r="F36" s="2">
        <v>69491</v>
      </c>
      <c r="G36" s="1" t="s">
        <v>52</v>
      </c>
      <c r="H36" s="1" t="s">
        <v>0</v>
      </c>
      <c r="I36" s="1" t="s">
        <v>7</v>
      </c>
      <c r="J36" s="1" t="s">
        <v>62</v>
      </c>
      <c r="K36" s="1" t="s">
        <v>91</v>
      </c>
    </row>
    <row r="37" spans="2:11" x14ac:dyDescent="0.35">
      <c r="B37" s="12">
        <f t="shared" si="0"/>
        <v>34</v>
      </c>
      <c r="E37" s="2">
        <v>138045</v>
      </c>
      <c r="F37" s="2">
        <v>108071</v>
      </c>
      <c r="G37" s="1" t="s">
        <v>52</v>
      </c>
      <c r="H37" s="1" t="s">
        <v>0</v>
      </c>
      <c r="I37" s="1" t="s">
        <v>7</v>
      </c>
      <c r="J37" s="1" t="s">
        <v>62</v>
      </c>
      <c r="K37" s="1" t="s">
        <v>72</v>
      </c>
    </row>
    <row r="38" spans="2:11" x14ac:dyDescent="0.35">
      <c r="B38" s="12">
        <f t="shared" si="0"/>
        <v>35</v>
      </c>
      <c r="E38" s="2">
        <v>280996</v>
      </c>
      <c r="F38" s="2">
        <v>212122</v>
      </c>
      <c r="G38" s="1" t="s">
        <v>52</v>
      </c>
      <c r="H38" s="1" t="s">
        <v>8</v>
      </c>
      <c r="I38" s="1" t="s">
        <v>9</v>
      </c>
      <c r="J38" s="1" t="s">
        <v>92</v>
      </c>
      <c r="K38" s="1" t="s">
        <v>92</v>
      </c>
    </row>
    <row r="39" spans="2:11" x14ac:dyDescent="0.35">
      <c r="B39" s="12">
        <f t="shared" si="0"/>
        <v>36</v>
      </c>
      <c r="E39" s="2">
        <v>16944</v>
      </c>
      <c r="F39" s="2">
        <v>20870</v>
      </c>
      <c r="G39" s="1" t="s">
        <v>52</v>
      </c>
      <c r="H39" s="1" t="s">
        <v>8</v>
      </c>
      <c r="I39" s="1" t="s">
        <v>9</v>
      </c>
      <c r="J39" s="1" t="s">
        <v>93</v>
      </c>
      <c r="K39" s="1" t="s">
        <v>93</v>
      </c>
    </row>
    <row r="40" spans="2:11" x14ac:dyDescent="0.35">
      <c r="B40" s="12">
        <f t="shared" si="0"/>
        <v>37</v>
      </c>
      <c r="E40" s="2">
        <v>203</v>
      </c>
      <c r="F40" s="2">
        <v>546</v>
      </c>
      <c r="G40" s="1" t="s">
        <v>52</v>
      </c>
      <c r="H40" s="1" t="s">
        <v>8</v>
      </c>
      <c r="I40" s="1" t="s">
        <v>9</v>
      </c>
      <c r="J40" s="1" t="s">
        <v>94</v>
      </c>
      <c r="K40" s="1" t="s">
        <v>94</v>
      </c>
    </row>
    <row r="41" spans="2:11" x14ac:dyDescent="0.35">
      <c r="B41" s="12">
        <f t="shared" si="0"/>
        <v>38</v>
      </c>
      <c r="E41" s="2">
        <v>-85151</v>
      </c>
      <c r="F41" s="2">
        <v>-82777</v>
      </c>
      <c r="G41" s="1" t="s">
        <v>52</v>
      </c>
      <c r="H41" s="1" t="s">
        <v>8</v>
      </c>
      <c r="I41" s="1" t="s">
        <v>9</v>
      </c>
      <c r="J41" s="1" t="s">
        <v>95</v>
      </c>
      <c r="K41" s="1" t="s">
        <v>95</v>
      </c>
    </row>
    <row r="42" spans="2:11" x14ac:dyDescent="0.35">
      <c r="B42" s="12">
        <f t="shared" si="0"/>
        <v>39</v>
      </c>
      <c r="E42" s="2">
        <v>6280388</v>
      </c>
      <c r="F42" s="2">
        <v>5585140</v>
      </c>
      <c r="G42" s="1" t="s">
        <v>52</v>
      </c>
      <c r="H42" s="1" t="s">
        <v>8</v>
      </c>
      <c r="I42" s="1" t="s">
        <v>10</v>
      </c>
      <c r="J42" s="1" t="s">
        <v>10</v>
      </c>
      <c r="K42" s="1" t="s">
        <v>10</v>
      </c>
    </row>
    <row r="43" spans="2:11" x14ac:dyDescent="0.35">
      <c r="B43" s="12">
        <f t="shared" si="0"/>
        <v>40</v>
      </c>
      <c r="E43" s="2">
        <v>-2350829</v>
      </c>
      <c r="F43" s="2">
        <v>-2194606</v>
      </c>
      <c r="G43" s="1" t="s">
        <v>52</v>
      </c>
      <c r="H43" s="1" t="s">
        <v>8</v>
      </c>
      <c r="I43" s="1" t="s">
        <v>10</v>
      </c>
      <c r="J43" s="1" t="s">
        <v>96</v>
      </c>
      <c r="K43" s="1" t="s">
        <v>96</v>
      </c>
    </row>
    <row r="44" spans="2:11" x14ac:dyDescent="0.35">
      <c r="B44" s="12">
        <f t="shared" si="0"/>
        <v>41</v>
      </c>
      <c r="E44" s="2">
        <v>105416</v>
      </c>
      <c r="F44" s="2">
        <f>161912-65643</f>
        <v>96269</v>
      </c>
      <c r="G44" s="1" t="s">
        <v>52</v>
      </c>
      <c r="H44" s="1" t="s">
        <v>8</v>
      </c>
      <c r="I44" s="1" t="s">
        <v>11</v>
      </c>
      <c r="J44" s="1" t="s">
        <v>98</v>
      </c>
      <c r="K44" s="1" t="s">
        <v>98</v>
      </c>
    </row>
    <row r="45" spans="2:11" x14ac:dyDescent="0.35">
      <c r="B45" s="12">
        <f t="shared" si="0"/>
        <v>42</v>
      </c>
      <c r="E45" s="2">
        <v>1916</v>
      </c>
      <c r="F45" s="2">
        <v>65643</v>
      </c>
      <c r="G45" s="1" t="s">
        <v>52</v>
      </c>
      <c r="H45" s="1" t="s">
        <v>8</v>
      </c>
      <c r="I45" s="1" t="s">
        <v>11</v>
      </c>
      <c r="J45" s="1" t="s">
        <v>99</v>
      </c>
      <c r="K45" s="1" t="s">
        <v>99</v>
      </c>
    </row>
    <row r="46" spans="2:11" x14ac:dyDescent="0.35">
      <c r="B46" s="12">
        <f t="shared" si="0"/>
        <v>43</v>
      </c>
      <c r="E46" s="2">
        <v>1786374</v>
      </c>
      <c r="F46" s="2">
        <v>2127814</v>
      </c>
      <c r="G46" s="1" t="s">
        <v>52</v>
      </c>
      <c r="H46" s="1" t="s">
        <v>8</v>
      </c>
      <c r="I46" s="1" t="s">
        <v>12</v>
      </c>
      <c r="J46" s="1" t="s">
        <v>12</v>
      </c>
      <c r="K46" s="1" t="s">
        <v>12</v>
      </c>
    </row>
    <row r="47" spans="2:11" x14ac:dyDescent="0.35">
      <c r="B47" s="12">
        <f t="shared" si="0"/>
        <v>44</v>
      </c>
      <c r="E47" s="2">
        <v>801</v>
      </c>
      <c r="F47" s="2">
        <v>576</v>
      </c>
      <c r="G47" s="1" t="s">
        <v>52</v>
      </c>
      <c r="H47" s="1" t="s">
        <v>8</v>
      </c>
      <c r="I47" s="1" t="s">
        <v>13</v>
      </c>
      <c r="J47" s="1" t="s">
        <v>100</v>
      </c>
      <c r="K47" s="1" t="s">
        <v>100</v>
      </c>
    </row>
    <row r="48" spans="2:11" x14ac:dyDescent="0.35">
      <c r="B48" s="12">
        <f t="shared" si="0"/>
        <v>45</v>
      </c>
      <c r="E48" s="2">
        <v>981241</v>
      </c>
      <c r="F48" s="2">
        <v>750730</v>
      </c>
      <c r="G48" s="1" t="s">
        <v>52</v>
      </c>
      <c r="H48" s="1" t="s">
        <v>8</v>
      </c>
      <c r="I48" s="1" t="s">
        <v>13</v>
      </c>
      <c r="J48" s="1" t="s">
        <v>101</v>
      </c>
      <c r="K48" s="1" t="s">
        <v>101</v>
      </c>
    </row>
    <row r="49" spans="2:11" x14ac:dyDescent="0.35">
      <c r="B49" s="12">
        <f t="shared" si="0"/>
        <v>46</v>
      </c>
      <c r="E49" s="2">
        <v>417500</v>
      </c>
      <c r="F49" s="2">
        <v>890000</v>
      </c>
      <c r="G49" s="1" t="s">
        <v>52</v>
      </c>
      <c r="H49" s="1" t="s">
        <v>8</v>
      </c>
      <c r="I49" s="1" t="s">
        <v>13</v>
      </c>
      <c r="J49" s="1" t="s">
        <v>102</v>
      </c>
      <c r="K49" s="1" t="s">
        <v>102</v>
      </c>
    </row>
    <row r="50" spans="2:11" x14ac:dyDescent="0.35">
      <c r="B50" s="12">
        <f t="shared" si="0"/>
        <v>47</v>
      </c>
      <c r="E50" s="2">
        <v>-5725122</v>
      </c>
      <c r="F50" s="2">
        <v>-6699593</v>
      </c>
      <c r="G50" s="1" t="s">
        <v>51</v>
      </c>
      <c r="H50" s="1" t="s">
        <v>19</v>
      </c>
      <c r="I50" s="1" t="s">
        <v>20</v>
      </c>
      <c r="J50" s="3"/>
      <c r="K50" s="3"/>
    </row>
    <row r="51" spans="2:11" x14ac:dyDescent="0.35">
      <c r="B51" s="12">
        <f t="shared" si="0"/>
        <v>48</v>
      </c>
      <c r="E51" s="2">
        <v>-2061787</v>
      </c>
      <c r="F51" s="2">
        <v>-2044864</v>
      </c>
      <c r="G51" s="1" t="s">
        <v>51</v>
      </c>
      <c r="H51" s="1" t="s">
        <v>19</v>
      </c>
      <c r="I51" s="1" t="s">
        <v>21</v>
      </c>
      <c r="J51" s="3"/>
      <c r="K51" s="3"/>
    </row>
    <row r="52" spans="2:11" x14ac:dyDescent="0.35">
      <c r="B52" s="12">
        <f t="shared" si="0"/>
        <v>49</v>
      </c>
      <c r="E52" s="2">
        <v>-601496</v>
      </c>
      <c r="F52" s="2">
        <v>-554393</v>
      </c>
      <c r="G52" s="1" t="s">
        <v>51</v>
      </c>
      <c r="H52" s="1" t="s">
        <v>19</v>
      </c>
      <c r="I52" s="1" t="s">
        <v>22</v>
      </c>
      <c r="J52" s="3"/>
      <c r="K52" s="3"/>
    </row>
    <row r="53" spans="2:11" x14ac:dyDescent="0.35">
      <c r="B53" s="12">
        <f t="shared" si="0"/>
        <v>50</v>
      </c>
      <c r="E53" s="2">
        <v>-208462</v>
      </c>
      <c r="F53" s="2">
        <v>-206269</v>
      </c>
      <c r="G53" s="1" t="s">
        <v>51</v>
      </c>
      <c r="H53" s="1" t="s">
        <v>19</v>
      </c>
      <c r="I53" s="1" t="s">
        <v>23</v>
      </c>
      <c r="J53" s="3"/>
      <c r="K53" s="3"/>
    </row>
    <row r="54" spans="2:11" x14ac:dyDescent="0.35">
      <c r="B54" s="12">
        <f t="shared" si="0"/>
        <v>51</v>
      </c>
      <c r="E54" s="2">
        <v>-321510</v>
      </c>
      <c r="F54" s="2">
        <v>-280648</v>
      </c>
      <c r="G54" s="1" t="s">
        <v>51</v>
      </c>
      <c r="H54" s="1" t="s">
        <v>19</v>
      </c>
      <c r="I54" s="1" t="s">
        <v>24</v>
      </c>
      <c r="J54" s="1" t="s">
        <v>24</v>
      </c>
      <c r="K54" s="1" t="s">
        <v>24</v>
      </c>
    </row>
    <row r="55" spans="2:11" x14ac:dyDescent="0.35">
      <c r="B55" s="12">
        <f t="shared" si="0"/>
        <v>52</v>
      </c>
      <c r="E55" s="2">
        <v>-309532</v>
      </c>
      <c r="F55" s="2">
        <v>-211892</v>
      </c>
      <c r="G55" s="1" t="s">
        <v>51</v>
      </c>
      <c r="H55" s="1" t="s">
        <v>19</v>
      </c>
      <c r="I55" s="1" t="s">
        <v>25</v>
      </c>
      <c r="J55" s="3"/>
      <c r="K55" s="3"/>
    </row>
    <row r="56" spans="2:11" x14ac:dyDescent="0.35">
      <c r="B56" s="12">
        <f t="shared" si="0"/>
        <v>53</v>
      </c>
      <c r="E56" s="2">
        <v>-459588</v>
      </c>
      <c r="F56" s="2">
        <v>-1610848</v>
      </c>
      <c r="G56" s="1" t="s">
        <v>51</v>
      </c>
      <c r="H56" s="1" t="s">
        <v>26</v>
      </c>
      <c r="I56" s="1" t="s">
        <v>20</v>
      </c>
      <c r="J56" s="3"/>
      <c r="K56" s="3"/>
    </row>
    <row r="57" spans="2:11" x14ac:dyDescent="0.35">
      <c r="B57" s="12">
        <f t="shared" si="0"/>
        <v>54</v>
      </c>
      <c r="E57" s="2">
        <v>-1213068</v>
      </c>
      <c r="F57" s="2">
        <v>-1178918</v>
      </c>
      <c r="G57" s="1" t="s">
        <v>51</v>
      </c>
      <c r="H57" s="1" t="s">
        <v>26</v>
      </c>
      <c r="I57" s="1" t="s">
        <v>21</v>
      </c>
      <c r="J57" s="3"/>
      <c r="K57" s="3"/>
    </row>
    <row r="58" spans="2:11" x14ac:dyDescent="0.35">
      <c r="B58" s="12">
        <f t="shared" si="0"/>
        <v>55</v>
      </c>
      <c r="E58" s="2">
        <v>-3603538</v>
      </c>
      <c r="F58" s="2">
        <v>-3415293</v>
      </c>
      <c r="G58" s="1" t="s">
        <v>51</v>
      </c>
      <c r="H58" s="1" t="s">
        <v>26</v>
      </c>
      <c r="I58" s="1" t="s">
        <v>27</v>
      </c>
      <c r="J58" s="3"/>
      <c r="K58" s="3"/>
    </row>
    <row r="59" spans="2:11" x14ac:dyDescent="0.35">
      <c r="B59" s="12">
        <f t="shared" si="0"/>
        <v>56</v>
      </c>
      <c r="E59" s="2">
        <v>-831150</v>
      </c>
      <c r="F59" s="2">
        <v>-785828</v>
      </c>
      <c r="G59" s="1" t="s">
        <v>51</v>
      </c>
      <c r="H59" s="1" t="s">
        <v>26</v>
      </c>
      <c r="I59" s="1" t="s">
        <v>24</v>
      </c>
      <c r="J59" s="1" t="s">
        <v>24</v>
      </c>
      <c r="K59" s="1" t="s">
        <v>24</v>
      </c>
    </row>
    <row r="60" spans="2:11" x14ac:dyDescent="0.35">
      <c r="B60" s="12">
        <f t="shared" si="0"/>
        <v>57</v>
      </c>
      <c r="E60" s="2">
        <v>-193439</v>
      </c>
      <c r="F60" s="2">
        <v>-177249</v>
      </c>
      <c r="G60" s="1" t="s">
        <v>51</v>
      </c>
      <c r="H60" s="1" t="s">
        <v>26</v>
      </c>
      <c r="I60" s="1" t="s">
        <v>28</v>
      </c>
      <c r="J60" s="1" t="s">
        <v>98</v>
      </c>
      <c r="K60" s="1" t="s">
        <v>98</v>
      </c>
    </row>
    <row r="61" spans="2:11" x14ac:dyDescent="0.35">
      <c r="B61" s="12">
        <f t="shared" si="0"/>
        <v>58</v>
      </c>
      <c r="E61" s="2">
        <v>0</v>
      </c>
      <c r="F61" s="2">
        <v>0</v>
      </c>
      <c r="G61" s="1" t="s">
        <v>51</v>
      </c>
      <c r="H61" s="1" t="s">
        <v>26</v>
      </c>
      <c r="I61" s="1" t="s">
        <v>28</v>
      </c>
      <c r="J61" s="1" t="s">
        <v>99</v>
      </c>
      <c r="K61" s="1" t="s">
        <v>99</v>
      </c>
    </row>
    <row r="62" spans="2:11" x14ac:dyDescent="0.35">
      <c r="B62" s="12">
        <f t="shared" si="0"/>
        <v>59</v>
      </c>
      <c r="E62" s="2">
        <v>-3281876</v>
      </c>
      <c r="F62" s="2">
        <v>-3078018</v>
      </c>
      <c r="G62" s="1" t="s">
        <v>51</v>
      </c>
      <c r="H62" s="1" t="s">
        <v>26</v>
      </c>
      <c r="I62" s="1" t="s">
        <v>29</v>
      </c>
      <c r="J62" s="3"/>
      <c r="K62" s="3"/>
    </row>
    <row r="63" spans="2:11" x14ac:dyDescent="0.35">
      <c r="B63" s="12">
        <f t="shared" si="0"/>
        <v>60</v>
      </c>
      <c r="E63" s="2">
        <v>-369491</v>
      </c>
      <c r="F63" s="2">
        <v>-615355</v>
      </c>
      <c r="G63" s="1" t="s">
        <v>51</v>
      </c>
      <c r="H63" s="1" t="s">
        <v>26</v>
      </c>
      <c r="I63" s="1" t="s">
        <v>30</v>
      </c>
      <c r="J63" s="3"/>
      <c r="K63" s="3"/>
    </row>
    <row r="64" spans="2:11" x14ac:dyDescent="0.35">
      <c r="B64" s="12">
        <f t="shared" si="0"/>
        <v>61</v>
      </c>
      <c r="E64" s="2">
        <v>-117005</v>
      </c>
      <c r="F64" s="2">
        <v>-187009</v>
      </c>
      <c r="G64" s="1" t="s">
        <v>51</v>
      </c>
      <c r="H64" s="1" t="s">
        <v>26</v>
      </c>
      <c r="I64" s="1" t="s">
        <v>31</v>
      </c>
      <c r="J64" s="3"/>
      <c r="K64" s="3"/>
    </row>
    <row r="65" spans="1:11" x14ac:dyDescent="0.35">
      <c r="B65" s="12">
        <f t="shared" si="0"/>
        <v>62</v>
      </c>
      <c r="E65" s="2">
        <v>-342472</v>
      </c>
      <c r="F65" s="2">
        <v>-222208</v>
      </c>
      <c r="G65" s="1" t="s">
        <v>51</v>
      </c>
      <c r="H65" s="1" t="s">
        <v>26</v>
      </c>
      <c r="I65" s="1" t="s">
        <v>25</v>
      </c>
      <c r="J65" s="3"/>
      <c r="K65" s="3"/>
    </row>
    <row r="66" spans="1:11" x14ac:dyDescent="0.35">
      <c r="B66" s="12">
        <f t="shared" si="0"/>
        <v>63</v>
      </c>
      <c r="E66" s="2">
        <v>-7700000</v>
      </c>
      <c r="F66" s="2">
        <v>-7700000</v>
      </c>
      <c r="G66" s="1" t="s">
        <v>50</v>
      </c>
      <c r="H66" s="1" t="s">
        <v>14</v>
      </c>
      <c r="I66" s="1" t="s">
        <v>15</v>
      </c>
      <c r="J66" s="1" t="s">
        <v>15</v>
      </c>
      <c r="K66" s="1" t="s">
        <v>15</v>
      </c>
    </row>
    <row r="67" spans="1:11" x14ac:dyDescent="0.35">
      <c r="B67" s="12">
        <f t="shared" si="0"/>
        <v>64</v>
      </c>
      <c r="E67" s="2">
        <v>0</v>
      </c>
      <c r="F67" s="2">
        <v>-2648971</v>
      </c>
      <c r="G67" s="1" t="s">
        <v>50</v>
      </c>
      <c r="H67" s="1" t="s">
        <v>14</v>
      </c>
      <c r="I67" s="1" t="s">
        <v>16</v>
      </c>
      <c r="J67" s="1" t="s">
        <v>16</v>
      </c>
      <c r="K67" s="1" t="s">
        <v>16</v>
      </c>
    </row>
    <row r="68" spans="1:11" x14ac:dyDescent="0.35">
      <c r="B68" s="12">
        <f t="shared" si="0"/>
        <v>65</v>
      </c>
      <c r="E68" s="2">
        <v>22669</v>
      </c>
      <c r="F68" s="2">
        <v>-26311</v>
      </c>
      <c r="G68" s="1" t="s">
        <v>50</v>
      </c>
      <c r="H68" s="1" t="s">
        <v>14</v>
      </c>
      <c r="I68" s="1" t="s">
        <v>17</v>
      </c>
      <c r="J68" s="3"/>
      <c r="K68" s="3"/>
    </row>
    <row r="69" spans="1:11" s="4" customFormat="1" x14ac:dyDescent="0.35">
      <c r="A69" s="1"/>
      <c r="B69" s="12">
        <f t="shared" si="0"/>
        <v>66</v>
      </c>
      <c r="E69" s="5">
        <v>-8135776</v>
      </c>
      <c r="F69" s="5">
        <v>-5097753</v>
      </c>
      <c r="G69" s="4" t="s">
        <v>50</v>
      </c>
      <c r="H69" s="4" t="s">
        <v>14</v>
      </c>
      <c r="I69" s="4" t="s">
        <v>18</v>
      </c>
    </row>
    <row r="70" spans="1:11" x14ac:dyDescent="0.35">
      <c r="B70" s="12">
        <f t="shared" si="0"/>
        <v>67</v>
      </c>
      <c r="E70" s="2">
        <v>-18206447</v>
      </c>
      <c r="F70" s="2">
        <v>-16762681</v>
      </c>
      <c r="G70" s="1" t="s">
        <v>105</v>
      </c>
      <c r="H70" s="1" t="s">
        <v>106</v>
      </c>
      <c r="I70" s="1" t="s">
        <v>34</v>
      </c>
    </row>
    <row r="71" spans="1:11" x14ac:dyDescent="0.35">
      <c r="B71" s="12">
        <f t="shared" si="0"/>
        <v>68</v>
      </c>
      <c r="E71" s="2">
        <v>8312421</v>
      </c>
      <c r="F71" s="2">
        <v>7509193</v>
      </c>
      <c r="G71" s="1" t="s">
        <v>105</v>
      </c>
      <c r="H71" s="1" t="s">
        <v>106</v>
      </c>
      <c r="I71" s="1" t="s">
        <v>35</v>
      </c>
    </row>
    <row r="72" spans="1:11" x14ac:dyDescent="0.35">
      <c r="B72" s="12">
        <f t="shared" si="0"/>
        <v>69</v>
      </c>
      <c r="E72" s="2">
        <v>0</v>
      </c>
      <c r="F72" s="2">
        <v>0</v>
      </c>
      <c r="G72" s="1" t="s">
        <v>105</v>
      </c>
      <c r="H72" s="1" t="s">
        <v>106</v>
      </c>
      <c r="I72" s="1" t="s">
        <v>36</v>
      </c>
    </row>
    <row r="73" spans="1:11" x14ac:dyDescent="0.35">
      <c r="B73" s="12">
        <f t="shared" si="0"/>
        <v>70</v>
      </c>
      <c r="E73" s="2">
        <v>1344412</v>
      </c>
      <c r="F73" s="2">
        <v>1249600</v>
      </c>
      <c r="G73" s="1" t="s">
        <v>105</v>
      </c>
      <c r="H73" s="1" t="s">
        <v>106</v>
      </c>
      <c r="I73" s="1" t="s">
        <v>37</v>
      </c>
    </row>
    <row r="74" spans="1:11" x14ac:dyDescent="0.35">
      <c r="B74" s="12">
        <f t="shared" si="0"/>
        <v>71</v>
      </c>
      <c r="E74" s="2">
        <v>1208657</v>
      </c>
      <c r="F74" s="2">
        <v>1193739</v>
      </c>
      <c r="G74" s="1" t="s">
        <v>105</v>
      </c>
      <c r="H74" s="1" t="s">
        <v>106</v>
      </c>
      <c r="I74" s="1" t="s">
        <v>38</v>
      </c>
    </row>
    <row r="75" spans="1:11" x14ac:dyDescent="0.35">
      <c r="B75" s="12">
        <f t="shared" si="0"/>
        <v>72</v>
      </c>
      <c r="E75" s="2">
        <v>146316</v>
      </c>
      <c r="F75" s="2">
        <v>185629</v>
      </c>
      <c r="G75" s="1" t="s">
        <v>105</v>
      </c>
      <c r="H75" s="1" t="s">
        <v>106</v>
      </c>
      <c r="I75" s="1" t="s">
        <v>39</v>
      </c>
    </row>
    <row r="76" spans="1:11" x14ac:dyDescent="0.35">
      <c r="B76" s="12">
        <f t="shared" si="0"/>
        <v>73</v>
      </c>
      <c r="E76" s="2">
        <v>3664224</v>
      </c>
      <c r="F76" s="2">
        <v>3647264</v>
      </c>
      <c r="G76" s="1" t="s">
        <v>105</v>
      </c>
      <c r="H76" s="1" t="s">
        <v>106</v>
      </c>
      <c r="I76" s="1" t="s">
        <v>40</v>
      </c>
    </row>
    <row r="77" spans="1:11" x14ac:dyDescent="0.35">
      <c r="B77" s="12">
        <f t="shared" si="0"/>
        <v>74</v>
      </c>
      <c r="E77" s="2">
        <v>0</v>
      </c>
      <c r="F77" s="2">
        <v>0</v>
      </c>
      <c r="G77" s="1" t="s">
        <v>105</v>
      </c>
      <c r="H77" s="1" t="s">
        <v>106</v>
      </c>
      <c r="I77" s="1" t="s">
        <v>41</v>
      </c>
    </row>
    <row r="78" spans="1:11" x14ac:dyDescent="0.35">
      <c r="B78" s="12">
        <f t="shared" si="0"/>
        <v>75</v>
      </c>
      <c r="E78" s="2">
        <v>-43791</v>
      </c>
      <c r="F78" s="2">
        <v>-30053</v>
      </c>
      <c r="G78" s="1" t="s">
        <v>105</v>
      </c>
      <c r="H78" s="1" t="s">
        <v>106</v>
      </c>
      <c r="I78" s="1" t="s">
        <v>42</v>
      </c>
    </row>
    <row r="79" spans="1:11" x14ac:dyDescent="0.35">
      <c r="B79" s="12">
        <f t="shared" si="0"/>
        <v>76</v>
      </c>
      <c r="E79" s="2">
        <v>-174739</v>
      </c>
      <c r="F79" s="2">
        <v>-163741</v>
      </c>
      <c r="G79" s="1" t="s">
        <v>105</v>
      </c>
      <c r="H79" s="1" t="s">
        <v>106</v>
      </c>
      <c r="I79" s="1" t="s">
        <v>43</v>
      </c>
    </row>
    <row r="80" spans="1:11" x14ac:dyDescent="0.35">
      <c r="B80" s="12">
        <f t="shared" si="0"/>
        <v>77</v>
      </c>
      <c r="E80" s="2">
        <v>615340</v>
      </c>
      <c r="F80" s="2">
        <v>690049</v>
      </c>
      <c r="G80" s="1" t="s">
        <v>105</v>
      </c>
      <c r="H80" s="1" t="s">
        <v>106</v>
      </c>
      <c r="I80" s="1" t="s">
        <v>44</v>
      </c>
    </row>
    <row r="81" spans="2:9" x14ac:dyDescent="0.35">
      <c r="B81" s="12">
        <f t="shared" si="0"/>
        <v>78</v>
      </c>
      <c r="E81" s="2">
        <v>-59446</v>
      </c>
      <c r="F81" s="2">
        <v>31833</v>
      </c>
      <c r="G81" s="1" t="s">
        <v>105</v>
      </c>
      <c r="H81" s="1" t="s">
        <v>106</v>
      </c>
      <c r="I81" s="1" t="s">
        <v>45</v>
      </c>
    </row>
    <row r="82" spans="2:9" x14ac:dyDescent="0.35">
      <c r="B82" s="12">
        <f t="shared" si="0"/>
        <v>79</v>
      </c>
      <c r="E82" s="2">
        <v>86205</v>
      </c>
      <c r="F82" s="2">
        <v>217191</v>
      </c>
      <c r="G82" s="1" t="s">
        <v>105</v>
      </c>
      <c r="H82" s="1" t="s">
        <v>106</v>
      </c>
      <c r="I82" s="1" t="s">
        <v>31</v>
      </c>
    </row>
    <row r="83" spans="2:9" x14ac:dyDescent="0.35">
      <c r="B83" s="12">
        <f t="shared" si="0"/>
        <v>80</v>
      </c>
      <c r="C83" s="3"/>
      <c r="D83" s="3"/>
      <c r="E83" s="2">
        <v>-4517</v>
      </c>
      <c r="F83" s="2">
        <v>18641</v>
      </c>
      <c r="G83" s="1" t="s">
        <v>105</v>
      </c>
      <c r="H83" s="1" t="s">
        <v>107</v>
      </c>
      <c r="I83" t="s">
        <v>54</v>
      </c>
    </row>
    <row r="84" spans="2:9" x14ac:dyDescent="0.35">
      <c r="B84" s="12">
        <f t="shared" si="0"/>
        <v>81</v>
      </c>
      <c r="C84" s="3"/>
      <c r="D84" s="3"/>
      <c r="E84" s="2">
        <v>2764</v>
      </c>
      <c r="F84" s="2">
        <v>2742</v>
      </c>
      <c r="G84" s="1" t="s">
        <v>105</v>
      </c>
      <c r="H84" s="1" t="s">
        <v>107</v>
      </c>
      <c r="I84" t="s">
        <v>55</v>
      </c>
    </row>
    <row r="85" spans="2:9" x14ac:dyDescent="0.35">
      <c r="B85" s="12">
        <f t="shared" ref="B85:B87" si="1">B84+1</f>
        <v>82</v>
      </c>
      <c r="C85" s="3"/>
      <c r="D85" s="3"/>
      <c r="E85" s="2">
        <v>1585</v>
      </c>
      <c r="F85" s="2">
        <v>388</v>
      </c>
      <c r="G85" s="1" t="s">
        <v>105</v>
      </c>
      <c r="H85" s="1" t="s">
        <v>107</v>
      </c>
      <c r="I85" s="1" t="s">
        <v>56</v>
      </c>
    </row>
    <row r="86" spans="2:9" x14ac:dyDescent="0.35">
      <c r="B86" s="12">
        <f t="shared" si="1"/>
        <v>83</v>
      </c>
      <c r="C86" s="3"/>
      <c r="D86" s="3"/>
      <c r="E86" s="2">
        <v>2159</v>
      </c>
      <c r="F86" s="2">
        <v>-47590</v>
      </c>
      <c r="G86" s="1" t="s">
        <v>105</v>
      </c>
      <c r="H86" s="1" t="s">
        <v>107</v>
      </c>
      <c r="I86" s="1" t="s">
        <v>57</v>
      </c>
    </row>
    <row r="87" spans="2:9" x14ac:dyDescent="0.35">
      <c r="B87" s="12">
        <f t="shared" si="1"/>
        <v>84</v>
      </c>
      <c r="C87" s="3"/>
      <c r="D87" s="3"/>
      <c r="E87" s="2">
        <v>42472</v>
      </c>
      <c r="F87" s="2">
        <v>108224</v>
      </c>
      <c r="G87" s="1" t="s">
        <v>105</v>
      </c>
      <c r="H87" s="1" t="s">
        <v>107</v>
      </c>
      <c r="I87" s="1" t="s">
        <v>58</v>
      </c>
    </row>
  </sheetData>
  <autoFilter ref="A2:L8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7"/>
  <sheetViews>
    <sheetView tabSelected="1" workbookViewId="0">
      <selection activeCell="F4" sqref="F2:F5"/>
    </sheetView>
  </sheetViews>
  <sheetFormatPr defaultRowHeight="14.5" x14ac:dyDescent="0.35"/>
  <sheetData>
    <row r="1" spans="2:4" ht="15" thickBot="1" x14ac:dyDescent="0.4"/>
    <row r="2" spans="2:4" ht="15" thickBot="1" x14ac:dyDescent="0.4">
      <c r="B2" s="17"/>
      <c r="C2" s="18"/>
      <c r="D2" s="19"/>
    </row>
    <row r="3" spans="2:4" ht="15" thickBot="1" x14ac:dyDescent="0.4">
      <c r="B3" s="20"/>
      <c r="C3" s="16"/>
      <c r="D3" s="21"/>
    </row>
    <row r="4" spans="2:4" ht="15" thickBot="1" x14ac:dyDescent="0.4">
      <c r="B4" s="22"/>
      <c r="C4" s="11"/>
      <c r="D4" s="23"/>
    </row>
    <row r="5" spans="2:4" ht="15" thickBot="1" x14ac:dyDescent="0.4">
      <c r="B5" s="20"/>
      <c r="C5" s="15"/>
      <c r="D5" s="24"/>
    </row>
    <row r="6" spans="2:4" ht="15" thickBot="1" x14ac:dyDescent="0.4">
      <c r="B6" s="22"/>
      <c r="C6" s="9"/>
      <c r="D6" s="10"/>
    </row>
    <row r="7" spans="2:4" ht="15" thickBot="1" x14ac:dyDescent="0.4">
      <c r="B7" s="20"/>
      <c r="C7" s="15"/>
      <c r="D7" s="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TB Mapping</vt:lpstr>
      <vt:lpstr>Sheet5</vt:lpstr>
      <vt:lpstr>Sheet4</vt:lpstr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Sachdeva, Abhishek</dc:creator>
  <cp:lastModifiedBy>YA-IT</cp:lastModifiedBy>
  <dcterms:created xsi:type="dcterms:W3CDTF">2015-06-05T18:17:20Z</dcterms:created>
  <dcterms:modified xsi:type="dcterms:W3CDTF">2026-06-16T12:17:27Z</dcterms:modified>
</cp:coreProperties>
</file>